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velam\Downloads\"/>
    </mc:Choice>
  </mc:AlternateContent>
  <xr:revisionPtr revIDLastSave="0" documentId="13_ncr:1_{3305AAD4-8C7A-4AF4-AAD1-7C7FE2704F35}" xr6:coauthVersionLast="47" xr6:coauthVersionMax="47" xr10:uidLastSave="{00000000-0000-0000-0000-000000000000}"/>
  <bookViews>
    <workbookView xWindow="-108" yWindow="-108" windowWidth="23256" windowHeight="12456" activeTab="1" xr2:uid="{F3A50E81-4858-47BD-9735-45096B0C9FCD}"/>
  </bookViews>
  <sheets>
    <sheet name="Sheet3" sheetId="4" r:id="rId1"/>
    <sheet name="Sheet4" sheetId="5" r:id="rId2"/>
    <sheet name="Table_Maindata" sheetId="3" r:id="rId3"/>
    <sheet name="pivot_Table" sheetId="2" r:id="rId4"/>
    <sheet name="Maindata" sheetId="1" r:id="rId5"/>
  </sheets>
  <definedNames>
    <definedName name="NativeTimeline_Date">#N/A</definedName>
    <definedName name="Slicer_Place">#N/A</definedName>
  </definedNames>
  <calcPr calcId="191029"/>
  <pivotCaches>
    <pivotCache cacheId="13" r:id="rId6"/>
    <pivotCache cacheId="22"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3" l="1"/>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alcChain>
</file>

<file path=xl/sharedStrings.xml><?xml version="1.0" encoding="utf-8"?>
<sst xmlns="http://schemas.openxmlformats.org/spreadsheetml/2006/main" count="1705" uniqueCount="34">
  <si>
    <t>Date</t>
  </si>
  <si>
    <t>Sales Persons</t>
  </si>
  <si>
    <t>Products</t>
  </si>
  <si>
    <t>Place</t>
  </si>
  <si>
    <t>Price</t>
  </si>
  <si>
    <t>Units</t>
  </si>
  <si>
    <t>Ramesh</t>
  </si>
  <si>
    <t>Furniture</t>
  </si>
  <si>
    <t>Guntur</t>
  </si>
  <si>
    <t>Kiran</t>
  </si>
  <si>
    <t>Vijayawada</t>
  </si>
  <si>
    <t>Gopi</t>
  </si>
  <si>
    <t>LED TV's</t>
  </si>
  <si>
    <t>Bapatla</t>
  </si>
  <si>
    <t>Mahesh</t>
  </si>
  <si>
    <t>4K LED TV's</t>
  </si>
  <si>
    <t>Mobiles</t>
  </si>
  <si>
    <t>Tenali</t>
  </si>
  <si>
    <t>Ganesh</t>
  </si>
  <si>
    <t>Laptops</t>
  </si>
  <si>
    <t>Chirala</t>
  </si>
  <si>
    <t>Speakers</t>
  </si>
  <si>
    <t>Prathap</t>
  </si>
  <si>
    <t>Ongole</t>
  </si>
  <si>
    <t>Sales</t>
  </si>
  <si>
    <t>Row Labels</t>
  </si>
  <si>
    <t>Grand Total</t>
  </si>
  <si>
    <t>Sum of Sales</t>
  </si>
  <si>
    <t>Total_Amount</t>
  </si>
  <si>
    <t>Year</t>
  </si>
  <si>
    <t>Month</t>
  </si>
  <si>
    <t>DAY</t>
  </si>
  <si>
    <t>Day Name</t>
  </si>
  <si>
    <t>Sum of Total_Amount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</si>
</sst>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8">
    <xf numFmtId="0" fontId="0" fillId="0" borderId="0" xfId="0"/>
    <xf numFmtId="0" fontId="0" fillId="0" borderId="1" xfId="0" applyBorder="1"/>
    <xf numFmtId="14" fontId="0" fillId="0" borderId="1" xfId="0" applyNumberFormat="1" applyBorder="1"/>
    <xf numFmtId="14" fontId="0" fillId="0" borderId="0" xfId="0" applyNumberFormat="1"/>
    <xf numFmtId="14" fontId="1" fillId="2" borderId="1" xfId="0" applyNumberFormat="1" applyFont="1" applyFill="1" applyBorder="1"/>
    <xf numFmtId="0" fontId="1" fillId="2" borderId="1" xfId="0" applyFont="1" applyFill="1" applyBorder="1"/>
    <xf numFmtId="0" fontId="0" fillId="0" borderId="0" xfId="0" pivotButton="1"/>
    <xf numFmtId="0" fontId="0" fillId="0" borderId="0" xfId="0" applyAlignment="1">
      <alignment horizontal="left"/>
    </xf>
    <xf numFmtId="0" fontId="0" fillId="0" borderId="0" xfId="0" applyNumberFormat="1"/>
    <xf numFmtId="14" fontId="0" fillId="0" borderId="2" xfId="0" applyNumberFormat="1" applyBorder="1"/>
    <xf numFmtId="0" fontId="0" fillId="0" borderId="3" xfId="0" applyBorder="1"/>
    <xf numFmtId="14" fontId="1" fillId="2" borderId="4" xfId="0" applyNumberFormat="1" applyFont="1" applyFill="1" applyBorder="1"/>
    <xf numFmtId="0" fontId="1" fillId="2" borderId="5" xfId="0" applyFont="1" applyFill="1" applyBorder="1"/>
    <xf numFmtId="0" fontId="1" fillId="2" borderId="6" xfId="0" applyFont="1" applyFill="1" applyBorder="1"/>
    <xf numFmtId="14" fontId="0" fillId="0" borderId="7" xfId="0" applyNumberFormat="1" applyBorder="1"/>
    <xf numFmtId="0" fontId="0" fillId="0" borderId="8" xfId="0" applyBorder="1"/>
    <xf numFmtId="0" fontId="0" fillId="0" borderId="9" xfId="0" applyBorder="1"/>
    <xf numFmtId="0" fontId="0" fillId="0" borderId="5" xfId="0" applyBorder="1"/>
  </cellXfs>
  <cellStyles count="1">
    <cellStyle name="Normal" xfId="0" builtinId="0"/>
  </cellStyles>
  <dxfs count="16">
    <dxf>
      <numFmt numFmtId="0" formatCode="General"/>
    </dxf>
    <dxf>
      <numFmt numFmtId="0" formatCode="General"/>
    </dxf>
    <dxf>
      <numFmt numFmtId="0" formatCode="General"/>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5" tint="0.59999389629810485"/>
        </patternFill>
      </fill>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[Apr_22_Retail_Dataset_Dashboard.xlsx]Sheet3!PivotTable2</c:name>
    <c:fmtId val="0"/>
  </c:pivotSource>
  <c:chart>
    <c:title>
      <c:layout>
        <c:manualLayout>
          <c:xMode val="edge"/>
          <c:yMode val="edge"/>
          <c:x val="0.48694444444444446"/>
          <c:y val="0.3415718868474773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Sheet3!$A$4:$A$10</c:f>
              <c:strCache>
                <c:ptCount val="6"/>
                <c:pt idx="0">
                  <c:v>Ganesh</c:v>
                </c:pt>
                <c:pt idx="1">
                  <c:v>Gopi</c:v>
                </c:pt>
                <c:pt idx="2">
                  <c:v>Kiran</c:v>
                </c:pt>
                <c:pt idx="3">
                  <c:v>Mahesh</c:v>
                </c:pt>
                <c:pt idx="4">
                  <c:v>Prathap</c:v>
                </c:pt>
                <c:pt idx="5">
                  <c:v>Ramesh</c:v>
                </c:pt>
              </c:strCache>
            </c:strRef>
          </c:cat>
          <c:val>
            <c:numRef>
              <c:f>Sheet3!$B$4:$B$10</c:f>
              <c:numCache>
                <c:formatCode>General</c:formatCode>
                <c:ptCount val="6"/>
                <c:pt idx="0">
                  <c:v>9154972</c:v>
                </c:pt>
                <c:pt idx="1">
                  <c:v>1854633</c:v>
                </c:pt>
                <c:pt idx="2">
                  <c:v>1812073</c:v>
                </c:pt>
                <c:pt idx="3">
                  <c:v>449672</c:v>
                </c:pt>
                <c:pt idx="4">
                  <c:v>1754823</c:v>
                </c:pt>
                <c:pt idx="5">
                  <c:v>1026512</c:v>
                </c:pt>
              </c:numCache>
            </c:numRef>
          </c:val>
          <c:extLst>
            <c:ext xmlns:c16="http://schemas.microsoft.com/office/drawing/2014/chart" uri="{C3380CC4-5D6E-409C-BE32-E72D297353CC}">
              <c16:uniqueId val="{00000000-E84A-425A-AC44-66325957C12C}"/>
            </c:ext>
          </c:extLst>
        </c:ser>
        <c:dLbls>
          <c:showLegendKey val="0"/>
          <c:showVal val="0"/>
          <c:showCatName val="0"/>
          <c:showSerName val="0"/>
          <c:showPercent val="0"/>
          <c:showBubbleSize val="0"/>
        </c:dLbls>
        <c:gapWidth val="219"/>
        <c:overlap val="-27"/>
        <c:axId val="437253983"/>
        <c:axId val="437253023"/>
      </c:barChart>
      <c:catAx>
        <c:axId val="43725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253023"/>
        <c:crosses val="autoZero"/>
        <c:auto val="1"/>
        <c:lblAlgn val="ctr"/>
        <c:lblOffset val="100"/>
        <c:noMultiLvlLbl val="0"/>
      </c:catAx>
      <c:valAx>
        <c:axId val="43725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253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[Apr_22_Retail_Dataset_Dashboard.xlsx]Sheet3!PivotTable2</c:name>
    <c:fmtId val="3"/>
  </c:pivotSource>
  <c:chart>
    <c:title>
      <c:layout>
        <c:manualLayout>
          <c:xMode val="edge"/>
          <c:yMode val="edge"/>
          <c:x val="0.48694444444444446"/>
          <c:y val="0.3415718868474773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Sheet3!$A$4:$A$10</c:f>
              <c:strCache>
                <c:ptCount val="6"/>
                <c:pt idx="0">
                  <c:v>Ganesh</c:v>
                </c:pt>
                <c:pt idx="1">
                  <c:v>Gopi</c:v>
                </c:pt>
                <c:pt idx="2">
                  <c:v>Kiran</c:v>
                </c:pt>
                <c:pt idx="3">
                  <c:v>Mahesh</c:v>
                </c:pt>
                <c:pt idx="4">
                  <c:v>Prathap</c:v>
                </c:pt>
                <c:pt idx="5">
                  <c:v>Ramesh</c:v>
                </c:pt>
              </c:strCache>
            </c:strRef>
          </c:cat>
          <c:val>
            <c:numRef>
              <c:f>Sheet3!$B$4:$B$10</c:f>
              <c:numCache>
                <c:formatCode>General</c:formatCode>
                <c:ptCount val="6"/>
                <c:pt idx="0">
                  <c:v>9154972</c:v>
                </c:pt>
                <c:pt idx="1">
                  <c:v>1854633</c:v>
                </c:pt>
                <c:pt idx="2">
                  <c:v>1812073</c:v>
                </c:pt>
                <c:pt idx="3">
                  <c:v>449672</c:v>
                </c:pt>
                <c:pt idx="4">
                  <c:v>1754823</c:v>
                </c:pt>
                <c:pt idx="5">
                  <c:v>1026512</c:v>
                </c:pt>
              </c:numCache>
            </c:numRef>
          </c:val>
          <c:extLst>
            <c:ext xmlns:c16="http://schemas.microsoft.com/office/drawing/2014/chart" uri="{C3380CC4-5D6E-409C-BE32-E72D297353CC}">
              <c16:uniqueId val="{00000000-0B0F-4A87-9060-0ED916DBFF81}"/>
            </c:ext>
          </c:extLst>
        </c:ser>
        <c:dLbls>
          <c:showLegendKey val="0"/>
          <c:showVal val="0"/>
          <c:showCatName val="0"/>
          <c:showSerName val="0"/>
          <c:showPercent val="0"/>
          <c:showBubbleSize val="0"/>
        </c:dLbls>
        <c:gapWidth val="219"/>
        <c:overlap val="-27"/>
        <c:axId val="437253983"/>
        <c:axId val="437253023"/>
      </c:barChart>
      <c:catAx>
        <c:axId val="43725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253023"/>
        <c:crosses val="autoZero"/>
        <c:auto val="1"/>
        <c:lblAlgn val="ctr"/>
        <c:lblOffset val="100"/>
        <c:noMultiLvlLbl val="0"/>
      </c:catAx>
      <c:valAx>
        <c:axId val="43725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253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[Apr_22_Retail_Dataset_Dashboard.xlsx]pivot_Table!PivotTable1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pivot_Table!$A$4:$A$10</c:f>
              <c:strCache>
                <c:ptCount val="6"/>
                <c:pt idx="0">
                  <c:v>Ganesh</c:v>
                </c:pt>
                <c:pt idx="1">
                  <c:v>Gopi</c:v>
                </c:pt>
                <c:pt idx="2">
                  <c:v>Kiran</c:v>
                </c:pt>
                <c:pt idx="3">
                  <c:v>Mahesh</c:v>
                </c:pt>
                <c:pt idx="4">
                  <c:v>Prathap</c:v>
                </c:pt>
                <c:pt idx="5">
                  <c:v>Ramesh</c:v>
                </c:pt>
              </c:strCache>
            </c:strRef>
          </c:cat>
          <c:val>
            <c:numRef>
              <c:f>pivot_Table!$B$4:$B$10</c:f>
              <c:numCache>
                <c:formatCode>General</c:formatCode>
                <c:ptCount val="6"/>
                <c:pt idx="0">
                  <c:v>40881900</c:v>
                </c:pt>
                <c:pt idx="1">
                  <c:v>26744959</c:v>
                </c:pt>
                <c:pt idx="2">
                  <c:v>22262435</c:v>
                </c:pt>
                <c:pt idx="3">
                  <c:v>15265496</c:v>
                </c:pt>
                <c:pt idx="4">
                  <c:v>4172743</c:v>
                </c:pt>
                <c:pt idx="5">
                  <c:v>9404360</c:v>
                </c:pt>
              </c:numCache>
            </c:numRef>
          </c:val>
          <c:extLst>
            <c:ext xmlns:c16="http://schemas.microsoft.com/office/drawing/2014/chart" uri="{C3380CC4-5D6E-409C-BE32-E72D297353CC}">
              <c16:uniqueId val="{00000000-80B0-46E5-94BB-08298C13DD58}"/>
            </c:ext>
          </c:extLst>
        </c:ser>
        <c:dLbls>
          <c:showLegendKey val="0"/>
          <c:showVal val="0"/>
          <c:showCatName val="0"/>
          <c:showSerName val="0"/>
          <c:showPercent val="0"/>
          <c:showBubbleSize val="0"/>
        </c:dLbls>
        <c:gapWidth val="100"/>
        <c:overlap val="-24"/>
        <c:axId val="1921387999"/>
        <c:axId val="1921409599"/>
      </c:barChart>
      <c:catAx>
        <c:axId val="192138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21409599"/>
        <c:crosses val="autoZero"/>
        <c:auto val="1"/>
        <c:lblAlgn val="ctr"/>
        <c:lblOffset val="100"/>
        <c:noMultiLvlLbl val="0"/>
      </c:catAx>
      <c:valAx>
        <c:axId val="1921409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2138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7</xdr:col>
      <xdr:colOff>160020</xdr:colOff>
      <xdr:row>1</xdr:row>
      <xdr:rowOff>45721</xdr:rowOff>
    </xdr:from>
    <xdr:to>
      <xdr:col>10</xdr:col>
      <xdr:colOff>160020</xdr:colOff>
      <xdr:row>11</xdr:row>
      <xdr:rowOff>152401</xdr:rowOff>
    </xdr:to>
    <mc:AlternateContent xmlns:mc="http://schemas.openxmlformats.org/markup-compatibility/2006">
      <mc:Choice xmlns:a14="http://schemas.microsoft.com/office/drawing/2010/main" Requires="a14">
        <xdr:graphicFrame macro="">
          <xdr:nvGraphicFramePr>
            <xdr:cNvPr id="2" name="Place">
              <a:extLst>
                <a:ext uri="{FF2B5EF4-FFF2-40B4-BE49-F238E27FC236}">
                  <a16:creationId xmlns:a16="http://schemas.microsoft.com/office/drawing/2014/main" id="{5173CC4C-2AAA-43BC-931F-7A9AF383C9F3}"/>
                </a:ext>
              </a:extLst>
            </xdr:cNvPr>
            <xdr:cNvGraphicFramePr/>
          </xdr:nvGraphicFramePr>
          <xdr:xfrm>
            <a:off x="0" y="0"/>
            <a:ext cx="0" cy="0"/>
          </xdr:xfrm>
          <a:graphic>
            <a:graphicData uri="http://schemas.microsoft.com/office/drawing/2010/slicer">
              <sle:slicer xmlns:sle="http://schemas.microsoft.com/office/drawing/2010/slicer" name="Place"/>
            </a:graphicData>
          </a:graphic>
        </xdr:graphicFrame>
      </mc:Choice>
      <mc:Fallback>
        <xdr:sp macro="" textlink="">
          <xdr:nvSpPr>
            <xdr:cNvPr id="0" name=""/>
            <xdr:cNvSpPr>
              <a:spLocks noTextEdit="1"/>
            </xdr:cNvSpPr>
          </xdr:nvSpPr>
          <xdr:spPr>
            <a:xfrm>
              <a:off x="5425440" y="228601"/>
              <a:ext cx="1828800" cy="1935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83820</xdr:colOff>
      <xdr:row>2</xdr:row>
      <xdr:rowOff>129540</xdr:rowOff>
    </xdr:from>
    <xdr:to>
      <xdr:col>16</xdr:col>
      <xdr:colOff>373380</xdr:colOff>
      <xdr:row>10</xdr:row>
      <xdr:rowOff>38100</xdr:rowOff>
    </xdr:to>
    <mc:AlternateContent xmlns:mc="http://schemas.openxmlformats.org/markup-compatibility/2006">
      <mc:Choice xmlns:tsle="http://schemas.microsoft.com/office/drawing/2012/timeslicer" Requires="tsle">
        <xdr:graphicFrame macro="">
          <xdr:nvGraphicFramePr>
            <xdr:cNvPr id="3" name="Date">
              <a:extLst>
                <a:ext uri="{FF2B5EF4-FFF2-40B4-BE49-F238E27FC236}">
                  <a16:creationId xmlns:a16="http://schemas.microsoft.com/office/drawing/2014/main" id="{80FA1BC1-A8E9-490C-84F5-DA1857B2A831}"/>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7787640" y="4953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38100</xdr:colOff>
      <xdr:row>12</xdr:row>
      <xdr:rowOff>144780</xdr:rowOff>
    </xdr:from>
    <xdr:to>
      <xdr:col>13</xdr:col>
      <xdr:colOff>342900</xdr:colOff>
      <xdr:row>27</xdr:row>
      <xdr:rowOff>144780</xdr:rowOff>
    </xdr:to>
    <xdr:graphicFrame macro="">
      <xdr:nvGraphicFramePr>
        <xdr:cNvPr id="4" name="Chart 3">
          <a:extLst>
            <a:ext uri="{FF2B5EF4-FFF2-40B4-BE49-F238E27FC236}">
              <a16:creationId xmlns:a16="http://schemas.microsoft.com/office/drawing/2014/main" id="{2704104A-59FD-11E1-8F2A-272F0AB3E8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6</xdr:row>
      <xdr:rowOff>0</xdr:rowOff>
    </xdr:from>
    <xdr:to>
      <xdr:col>9</xdr:col>
      <xdr:colOff>0</xdr:colOff>
      <xdr:row>16</xdr:row>
      <xdr:rowOff>106680</xdr:rowOff>
    </xdr:to>
    <mc:AlternateContent xmlns:mc="http://schemas.openxmlformats.org/markup-compatibility/2006">
      <mc:Choice xmlns:a14="http://schemas.microsoft.com/office/drawing/2010/main" Requires="a14">
        <xdr:graphicFrame macro="">
          <xdr:nvGraphicFramePr>
            <xdr:cNvPr id="2" name="Place 1">
              <a:extLst>
                <a:ext uri="{FF2B5EF4-FFF2-40B4-BE49-F238E27FC236}">
                  <a16:creationId xmlns:a16="http://schemas.microsoft.com/office/drawing/2014/main" id="{40015704-2B0C-4E7A-90A6-74525B008D01}"/>
                </a:ext>
              </a:extLst>
            </xdr:cNvPr>
            <xdr:cNvGraphicFramePr/>
          </xdr:nvGraphicFramePr>
          <xdr:xfrm>
            <a:off x="0" y="0"/>
            <a:ext cx="0" cy="0"/>
          </xdr:xfrm>
          <a:graphic>
            <a:graphicData uri="http://schemas.microsoft.com/office/drawing/2010/slicer">
              <sle:slicer xmlns:sle="http://schemas.microsoft.com/office/drawing/2010/slicer" name="Place 1"/>
            </a:graphicData>
          </a:graphic>
        </xdr:graphicFrame>
      </mc:Choice>
      <mc:Fallback>
        <xdr:sp macro="" textlink="">
          <xdr:nvSpPr>
            <xdr:cNvPr id="0" name=""/>
            <xdr:cNvSpPr>
              <a:spLocks noTextEdit="1"/>
            </xdr:cNvSpPr>
          </xdr:nvSpPr>
          <xdr:spPr>
            <a:xfrm>
              <a:off x="3657600" y="1097280"/>
              <a:ext cx="1828800" cy="1935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8</xdr:row>
      <xdr:rowOff>0</xdr:rowOff>
    </xdr:from>
    <xdr:to>
      <xdr:col>16</xdr:col>
      <xdr:colOff>289560</xdr:colOff>
      <xdr:row>15</xdr:row>
      <xdr:rowOff>91440</xdr:rowOff>
    </xdr:to>
    <mc:AlternateContent xmlns:mc="http://schemas.openxmlformats.org/markup-compatibility/2006">
      <mc:Choice xmlns:tsle="http://schemas.microsoft.com/office/drawing/2012/timeslicer" Requires="tsle">
        <xdr:graphicFrame macro="">
          <xdr:nvGraphicFramePr>
            <xdr:cNvPr id="3" name="Date 1">
              <a:extLst>
                <a:ext uri="{FF2B5EF4-FFF2-40B4-BE49-F238E27FC236}">
                  <a16:creationId xmlns:a16="http://schemas.microsoft.com/office/drawing/2014/main" id="{D1C7E658-B191-4F2E-985A-609B0966BEB9}"/>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6705600" y="14630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586740</xdr:colOff>
      <xdr:row>18</xdr:row>
      <xdr:rowOff>91440</xdr:rowOff>
    </xdr:from>
    <xdr:to>
      <xdr:col>14</xdr:col>
      <xdr:colOff>281940</xdr:colOff>
      <xdr:row>33</xdr:row>
      <xdr:rowOff>91440</xdr:rowOff>
    </xdr:to>
    <xdr:graphicFrame macro="">
      <xdr:nvGraphicFramePr>
        <xdr:cNvPr id="4" name="Chart 3">
          <a:extLst>
            <a:ext uri="{FF2B5EF4-FFF2-40B4-BE49-F238E27FC236}">
              <a16:creationId xmlns:a16="http://schemas.microsoft.com/office/drawing/2014/main" id="{A02F1316-1F99-48A4-B69E-BF125FA19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251460</xdr:colOff>
      <xdr:row>6</xdr:row>
      <xdr:rowOff>45720</xdr:rowOff>
    </xdr:from>
    <xdr:to>
      <xdr:col>11</xdr:col>
      <xdr:colOff>556260</xdr:colOff>
      <xdr:row>21</xdr:row>
      <xdr:rowOff>45720</xdr:rowOff>
    </xdr:to>
    <xdr:graphicFrame macro="">
      <xdr:nvGraphicFramePr>
        <xdr:cNvPr id="2" name="Chart 1">
          <a:extLst>
            <a:ext uri="{FF2B5EF4-FFF2-40B4-BE49-F238E27FC236}">
              <a16:creationId xmlns:a16="http://schemas.microsoft.com/office/drawing/2014/main" id="{2CBB99A8-A614-974B-405A-A147325B39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JA V" refreshedDate="46134.497808333334" createdVersion="8" refreshedVersion="8" minRefreshableVersion="3" recordCount="278" xr:uid="{D891FBE1-EE73-4B76-8A9D-87CD71EBD7A2}">
  <cacheSource type="worksheet">
    <worksheetSource ref="A1:G279" sheet="Maindata"/>
  </cacheSource>
  <cacheFields count="7">
    <cacheField name="Date" numFmtId="14">
      <sharedItems containsSemiMixedTypes="0" containsNonDate="0" containsDate="1" containsString="0" minDate="2020-01-01T00:00:00" maxDate="2022-12-31T00:00:00"/>
    </cacheField>
    <cacheField name="Sales Persons" numFmtId="0">
      <sharedItems count="6">
        <s v="Ramesh"/>
        <s v="Kiran"/>
        <s v="Gopi"/>
        <s v="Mahesh"/>
        <s v="Ganesh"/>
        <s v="Prathap"/>
      </sharedItems>
    </cacheField>
    <cacheField name="Products" numFmtId="0">
      <sharedItems/>
    </cacheField>
    <cacheField name="Place" numFmtId="0">
      <sharedItems/>
    </cacheField>
    <cacheField name="Price" numFmtId="0">
      <sharedItems containsSemiMixedTypes="0" containsString="0" containsNumber="1" containsInteger="1" minValue="89" maxValue="99620"/>
    </cacheField>
    <cacheField name="Units" numFmtId="0">
      <sharedItems containsSemiMixedTypes="0" containsString="0" containsNumber="1" containsInteger="1" minValue="4" maxValue="100"/>
    </cacheField>
    <cacheField name="Sales" numFmtId="0">
      <sharedItems containsSemiMixedTypes="0" containsString="0" containsNumber="1" containsInteger="1" minValue="720" maxValue="425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JA V" refreshedDate="46134.522827199071" createdVersion="8" refreshedVersion="8" minRefreshableVersion="3" recordCount="278" xr:uid="{D4BB02EA-10F7-44E1-837A-EC906E24157D}">
  <cacheSource type="worksheet">
    <worksheetSource name="Table1"/>
  </cacheSource>
  <cacheFields count="12">
    <cacheField name="Date" numFmtId="14">
      <sharedItems containsSemiMixedTypes="0" containsNonDate="0" containsDate="1" containsString="0" minDate="2020-01-01T00:00:00" maxDate="2022-12-31T00:00:00" count="278">
        <d v="2020-01-01T00:00:00"/>
        <d v="2020-01-05T00:00:00"/>
        <d v="2020-01-09T00:00:00"/>
        <d v="2020-01-13T00:00:00"/>
        <d v="2020-01-17T00:00:00"/>
        <d v="2020-01-21T00:00:00"/>
        <d v="2020-01-25T00:00:00"/>
        <d v="2020-01-29T00:00:00"/>
        <d v="2020-02-02T00:00:00"/>
        <d v="2020-02-06T00:00:00"/>
        <d v="2020-02-10T00:00:00"/>
        <d v="2020-02-14T00:00:00"/>
        <d v="2020-02-18T00:00:00"/>
        <d v="2020-02-22T00:00:00"/>
        <d v="2020-02-26T00:00:00"/>
        <d v="2020-03-01T00:00:00"/>
        <d v="2020-03-05T00:00:00"/>
        <d v="2020-03-09T00:00:00"/>
        <d v="2020-03-13T00:00:00"/>
        <d v="2020-03-17T00:00:00"/>
        <d v="2020-03-21T00:00:00"/>
        <d v="2020-03-25T00:00:00"/>
        <d v="2020-03-29T00:00:00"/>
        <d v="2020-04-02T00:00:00"/>
        <d v="2020-04-06T00:00:00"/>
        <d v="2020-04-10T00:00:00"/>
        <d v="2020-04-14T00:00:00"/>
        <d v="2020-04-18T00:00:00"/>
        <d v="2020-04-22T00:00:00"/>
        <d v="2020-04-26T00:00:00"/>
        <d v="2020-04-30T00:00:00"/>
        <d v="2020-05-04T00:00:00"/>
        <d v="2020-05-08T00:00:00"/>
        <d v="2020-05-12T00:00:00"/>
        <d v="2020-05-16T00:00:00"/>
        <d v="2020-05-20T00:00:00"/>
        <d v="2020-05-24T00:00:00"/>
        <d v="2020-05-28T00:00:00"/>
        <d v="2020-06-01T00:00:00"/>
        <d v="2020-06-05T00:00:00"/>
        <d v="2020-06-09T00:00:00"/>
        <d v="2020-06-13T00:00:00"/>
        <d v="2020-06-17T00:00:00"/>
        <d v="2020-06-21T00:00:00"/>
        <d v="2020-06-25T00:00:00"/>
        <d v="2020-06-29T00:00:00"/>
        <d v="2020-07-03T00:00:00"/>
        <d v="2020-07-07T00:00:00"/>
        <d v="2020-07-11T00:00:00"/>
        <d v="2020-07-15T00:00:00"/>
        <d v="2020-07-19T00:00:00"/>
        <d v="2020-07-23T00:00:00"/>
        <d v="2020-07-27T00:00:00"/>
        <d v="2020-07-31T00:00:00"/>
        <d v="2020-08-04T00:00:00"/>
        <d v="2020-08-08T00:00:00"/>
        <d v="2020-08-12T00:00:00"/>
        <d v="2020-08-16T00:00:00"/>
        <d v="2020-08-20T00:00:00"/>
        <d v="2020-08-24T00:00:00"/>
        <d v="2020-08-28T00:00:00"/>
        <d v="2020-09-01T00:00:00"/>
        <d v="2020-09-05T00:00:00"/>
        <d v="2020-09-09T00:00:00"/>
        <d v="2020-09-13T00:00:00"/>
        <d v="2020-09-17T00:00:00"/>
        <d v="2020-09-21T00:00:00"/>
        <d v="2020-09-25T00:00:00"/>
        <d v="2020-09-29T00:00:00"/>
        <d v="2020-10-03T00:00:00"/>
        <d v="2020-10-07T00:00:00"/>
        <d v="2020-10-11T00:00:00"/>
        <d v="2020-10-15T00:00:00"/>
        <d v="2020-10-19T00:00:00"/>
        <d v="2020-10-23T00:00:00"/>
        <d v="2020-10-27T00:00:00"/>
        <d v="2020-10-31T00:00:00"/>
        <d v="2020-11-04T00:00:00"/>
        <d v="2020-11-08T00:00:00"/>
        <d v="2020-11-12T00:00:00"/>
        <d v="2020-11-16T00:00:00"/>
        <d v="2020-11-20T00:00:00"/>
        <d v="2020-11-24T00:00:00"/>
        <d v="2020-11-28T00:00:00"/>
        <d v="2020-12-02T00:00:00"/>
        <d v="2020-12-06T00:00:00"/>
        <d v="2020-12-10T00:00:00"/>
        <d v="2020-12-14T00:00:00"/>
        <d v="2020-12-18T00:00:00"/>
        <d v="2020-12-22T00:00:00"/>
        <d v="2020-12-26T00:00:00"/>
        <d v="2020-12-30T00:00:00"/>
        <d v="2021-01-03T00:00:00"/>
        <d v="2021-01-07T00:00:00"/>
        <d v="2021-01-11T00:00:00"/>
        <d v="2021-01-15T00:00:00"/>
        <d v="2021-01-19T00:00:00"/>
        <d v="2021-01-23T00:00:00"/>
        <d v="2021-01-27T00:00:00"/>
        <d v="2021-01-31T00:00:00"/>
        <d v="2021-02-04T00:00:00"/>
        <d v="2021-02-08T00:00:00"/>
        <d v="2021-02-12T00:00:00"/>
        <d v="2021-02-16T00:00:00"/>
        <d v="2021-02-20T00:00:00"/>
        <d v="2021-02-24T00:00:00"/>
        <d v="2021-02-28T00:00:00"/>
        <d v="2021-03-04T00:00:00"/>
        <d v="2021-03-08T00:00:00"/>
        <d v="2021-03-12T00:00:00"/>
        <d v="2021-03-16T00:00:00"/>
        <d v="2021-03-20T00:00:00"/>
        <d v="2021-03-24T00:00:00"/>
        <d v="2021-03-28T00:00:00"/>
        <d v="2021-04-01T00:00:00"/>
        <d v="2021-04-05T00:00:00"/>
        <d v="2021-04-09T00:00:00"/>
        <d v="2021-04-13T00:00:00"/>
        <d v="2021-04-17T00:00:00"/>
        <d v="2021-04-21T00:00:00"/>
        <d v="2021-04-25T00:00:00"/>
        <d v="2021-04-29T00:00:00"/>
        <d v="2021-05-03T00:00:00"/>
        <d v="2021-05-07T00:00:00"/>
        <d v="2021-05-11T00:00:00"/>
        <d v="2021-05-15T00:00:00"/>
        <d v="2021-05-19T00:00:00"/>
        <d v="2021-05-23T00:00:00"/>
        <d v="2021-05-27T00:00:00"/>
        <d v="2021-05-31T00:00:00"/>
        <d v="2021-06-04T00:00:00"/>
        <d v="2021-06-08T00:00:00"/>
        <d v="2021-06-12T00:00:00"/>
        <d v="2021-06-16T00:00:00"/>
        <d v="2021-06-20T00:00:00"/>
        <d v="2021-06-24T00:00:00"/>
        <d v="2021-06-28T00:00:00"/>
        <d v="2021-07-02T00:00:00"/>
        <d v="2021-07-06T00:00:00"/>
        <d v="2021-07-10T00:00:00"/>
        <d v="2021-07-14T00:00:00"/>
        <d v="2021-07-18T00:00:00"/>
        <d v="2021-07-22T00:00:00"/>
        <d v="2021-07-26T00:00:00"/>
        <d v="2021-07-30T00:00:00"/>
        <d v="2021-08-03T00:00:00"/>
        <d v="2021-08-07T00:00:00"/>
        <d v="2021-08-11T00:00:00"/>
        <d v="2021-08-15T00:00:00"/>
        <d v="2021-08-19T00:00:00"/>
        <d v="2021-08-23T00:00:00"/>
        <d v="2021-08-27T00:00:00"/>
        <d v="2021-08-31T00:00:00"/>
        <d v="2021-09-04T00:00:00"/>
        <d v="2021-09-08T00:00:00"/>
        <d v="2021-09-12T00:00:00"/>
        <d v="2021-09-16T00:00:00"/>
        <d v="2021-09-20T00:00:00"/>
        <d v="2021-09-24T00:00:00"/>
        <d v="2021-09-28T00:00:00"/>
        <d v="2021-10-02T00:00:00"/>
        <d v="2021-10-06T00:00:00"/>
        <d v="2021-10-10T00:00:00"/>
        <d v="2021-10-14T00:00:00"/>
        <d v="2021-10-18T00:00:00"/>
        <d v="2021-10-22T00:00:00"/>
        <d v="2021-10-26T00:00:00"/>
        <d v="2021-10-30T00:00:00"/>
        <d v="2021-11-03T00:00:00"/>
        <d v="2021-11-07T00:00:00"/>
        <d v="2021-11-11T00:00:00"/>
        <d v="2021-11-15T00:00:00"/>
        <d v="2021-11-19T00:00:00"/>
        <d v="2021-11-23T00:00:00"/>
        <d v="2021-11-27T00:00:00"/>
        <d v="2021-12-01T00:00:00"/>
        <d v="2021-12-05T00:00:00"/>
        <d v="2021-12-09T00:00:00"/>
        <d v="2021-12-13T00:00:00"/>
        <d v="2021-12-17T00:00:00"/>
        <d v="2021-12-21T00:00:00"/>
        <d v="2021-12-25T00:00:00"/>
        <d v="2021-12-29T00:00:00"/>
        <d v="2022-01-02T00:00:00"/>
        <d v="2022-01-06T00:00:00"/>
        <d v="2022-01-10T00:00:00"/>
        <d v="2022-01-14T00:00:00"/>
        <d v="2022-01-18T00:00:00"/>
        <d v="2022-01-22T00:00:00"/>
        <d v="2022-01-26T00:00:00"/>
        <d v="2022-01-30T00:00:00"/>
        <d v="2022-02-03T00:00:00"/>
        <d v="2022-02-07T00:00:00"/>
        <d v="2022-02-11T00:00:00"/>
        <d v="2022-02-15T00:00:00"/>
        <d v="2022-02-19T00:00:00"/>
        <d v="2022-02-23T00:00:00"/>
        <d v="2022-02-27T00:00:00"/>
        <d v="2022-03-03T00:00:00"/>
        <d v="2022-03-07T00:00:00"/>
        <d v="2022-03-11T00:00:00"/>
        <d v="2022-03-15T00:00:00"/>
        <d v="2022-03-19T00:00:00"/>
        <d v="2022-03-23T00:00:00"/>
        <d v="2022-03-27T00:00:00"/>
        <d v="2022-03-31T00:00:00"/>
        <d v="2022-04-04T00:00:00"/>
        <d v="2022-04-08T00:00:00"/>
        <d v="2022-04-12T00:00:00"/>
        <d v="2022-04-16T00:00:00"/>
        <d v="2022-04-20T00:00:00"/>
        <d v="2022-04-24T00:00:00"/>
        <d v="2022-04-28T00:00:00"/>
        <d v="2022-05-02T00:00:00"/>
        <d v="2022-05-06T00:00:00"/>
        <d v="2022-05-10T00:00:00"/>
        <d v="2022-05-14T00:00:00"/>
        <d v="2022-05-18T00:00:00"/>
        <d v="2022-05-22T00:00:00"/>
        <d v="2022-05-26T00:00:00"/>
        <d v="2022-05-30T00:00:00"/>
        <d v="2022-06-03T00:00:00"/>
        <d v="2022-06-07T00:00:00"/>
        <d v="2022-06-11T00:00:00"/>
        <d v="2022-06-15T00:00:00"/>
        <d v="2022-06-19T00:00:00"/>
        <d v="2022-06-23T00:00:00"/>
        <d v="2022-06-27T00:00:00"/>
        <d v="2022-07-01T00:00:00"/>
        <d v="2022-07-05T00:00:00"/>
        <d v="2022-07-09T00:00:00"/>
        <d v="2022-07-13T00:00:00"/>
        <d v="2022-07-17T00:00:00"/>
        <d v="2022-07-21T00:00:00"/>
        <d v="2022-07-25T00:00:00"/>
        <d v="2022-07-29T00:00:00"/>
        <d v="2022-08-02T00:00:00"/>
        <d v="2022-08-06T00:00:00"/>
        <d v="2022-08-10T00:00:00"/>
        <d v="2022-08-14T00:00:00"/>
        <d v="2022-08-18T00:00:00"/>
        <d v="2022-08-22T00:00:00"/>
        <d v="2022-08-26T00:00:00"/>
        <d v="2022-08-30T00:00:00"/>
        <d v="2022-09-03T00:00:00"/>
        <d v="2022-09-07T00:00:00"/>
        <d v="2022-09-11T00:00:00"/>
        <d v="2022-09-15T00:00:00"/>
        <d v="2022-09-19T00:00:00"/>
        <d v="2022-09-23T00:00:00"/>
        <d v="2022-09-27T00:00:00"/>
        <d v="2022-10-01T00:00:00"/>
        <d v="2022-10-05T00:00:00"/>
        <d v="2022-10-09T00:00:00"/>
        <d v="2022-10-13T00:00:00"/>
        <d v="2022-10-17T00:00:00"/>
        <d v="2022-10-21T00:00:00"/>
        <d v="2022-10-25T00:00:00"/>
        <d v="2022-10-29T00:00:00"/>
        <d v="2022-11-02T00:00:00"/>
        <d v="2022-11-06T00:00:00"/>
        <d v="2022-11-10T00:00:00"/>
        <d v="2022-11-14T00:00:00"/>
        <d v="2022-11-18T00:00:00"/>
        <d v="2022-11-22T00:00:00"/>
        <d v="2022-11-26T00:00:00"/>
        <d v="2022-11-30T00:00:00"/>
        <d v="2022-12-04T00:00:00"/>
        <d v="2022-12-08T00:00:00"/>
        <d v="2022-12-12T00:00:00"/>
        <d v="2022-12-16T00:00:00"/>
        <d v="2022-12-20T00:00:00"/>
        <d v="2022-12-24T00:00:00"/>
        <d v="2022-12-28T00:00:00"/>
        <d v="2022-12-18T00:00:00"/>
        <d v="2022-12-22T00:00:00"/>
        <d v="2022-12-27T00:00:00"/>
        <d v="2022-12-30T00:00:00"/>
      </sharedItems>
    </cacheField>
    <cacheField name="Sales Persons" numFmtId="0">
      <sharedItems count="6">
        <s v="Ramesh"/>
        <s v="Kiran"/>
        <s v="Gopi"/>
        <s v="Mahesh"/>
        <s v="Ganesh"/>
        <s v="Prathap"/>
      </sharedItems>
    </cacheField>
    <cacheField name="Products" numFmtId="0">
      <sharedItems/>
    </cacheField>
    <cacheField name="Place" numFmtId="0">
      <sharedItems count="6">
        <s v="Guntur"/>
        <s v="Vijayawada"/>
        <s v="Bapatla"/>
        <s v="Tenali"/>
        <s v="Chirala"/>
        <s v="Ongole"/>
      </sharedItems>
    </cacheField>
    <cacheField name="Price" numFmtId="0">
      <sharedItems containsSemiMixedTypes="0" containsString="0" containsNumber="1" containsInteger="1" minValue="89" maxValue="99620"/>
    </cacheField>
    <cacheField name="Units" numFmtId="0">
      <sharedItems containsSemiMixedTypes="0" containsString="0" containsNumber="1" containsInteger="1" minValue="4" maxValue="100"/>
    </cacheField>
    <cacheField name="Sales" numFmtId="0">
      <sharedItems containsSemiMixedTypes="0" containsString="0" containsNumber="1" containsInteger="1" minValue="720" maxValue="4250000"/>
    </cacheField>
    <cacheField name="Total_Amount" numFmtId="0">
      <sharedItems containsSemiMixedTypes="0" containsString="0" containsNumber="1" containsInteger="1" minValue="720" maxValue="4250000"/>
    </cacheField>
    <cacheField name="Year" numFmtId="0">
      <sharedItems containsSemiMixedTypes="0" containsString="0" containsNumber="1" containsInteger="1" minValue="2020" maxValue="2022"/>
    </cacheField>
    <cacheField name="Month" numFmtId="0">
      <sharedItems/>
    </cacheField>
    <cacheField name="DAY" numFmtId="0">
      <sharedItems containsSemiMixedTypes="0" containsString="0" containsNumber="1" containsInteger="1" minValue="1" maxValue="31"/>
    </cacheField>
    <cacheField name="Day Name" numFmtId="0">
      <sharedItems/>
    </cacheField>
  </cacheFields>
  <extLst>
    <ext xmlns:x14="http://schemas.microsoft.com/office/spreadsheetml/2009/9/main" uri="{725AE2AE-9491-48be-B2B4-4EB974FC3084}">
      <x14:pivotCacheDefinition pivotCacheId="7091512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8">
  <r>
    <d v="2020-01-01T00:00:00"/>
    <x v="0"/>
    <s v="Furniture"/>
    <s v="Guntur"/>
    <n v="499"/>
    <n v="50"/>
    <n v="24950"/>
  </r>
  <r>
    <d v="2020-01-05T00:00:00"/>
    <x v="1"/>
    <s v="Furniture"/>
    <s v="Vijayawada"/>
    <n v="5599"/>
    <n v="33"/>
    <n v="184767"/>
  </r>
  <r>
    <d v="2020-01-09T00:00:00"/>
    <x v="2"/>
    <s v="LED TV's"/>
    <s v="Bapatla"/>
    <n v="1450"/>
    <n v="44"/>
    <n v="63800"/>
  </r>
  <r>
    <d v="2020-01-13T00:00:00"/>
    <x v="3"/>
    <s v="4K LED TV's"/>
    <s v="Guntur"/>
    <n v="85000"/>
    <n v="50"/>
    <n v="4250000"/>
  </r>
  <r>
    <d v="2020-01-17T00:00:00"/>
    <x v="3"/>
    <s v="Mobiles"/>
    <s v="Tenali"/>
    <n v="15000"/>
    <n v="11"/>
    <n v="165000"/>
  </r>
  <r>
    <d v="2020-01-21T00:00:00"/>
    <x v="1"/>
    <s v="Furniture"/>
    <s v="Tenali"/>
    <n v="2550"/>
    <n v="48"/>
    <n v="122400"/>
  </r>
  <r>
    <d v="2020-01-25T00:00:00"/>
    <x v="4"/>
    <s v="Laptops"/>
    <s v="Bapatla"/>
    <n v="33000"/>
    <n v="26"/>
    <n v="858000"/>
  </r>
  <r>
    <d v="2020-01-29T00:00:00"/>
    <x v="0"/>
    <s v="4K LED TV's"/>
    <s v="Chirala"/>
    <n v="86000"/>
    <n v="39"/>
    <n v="3354000"/>
  </r>
  <r>
    <d v="2020-02-02T00:00:00"/>
    <x v="2"/>
    <s v="Speakers"/>
    <s v="Tenali"/>
    <n v="990"/>
    <n v="9"/>
    <n v="8910"/>
  </r>
  <r>
    <d v="2020-02-06T00:00:00"/>
    <x v="0"/>
    <s v="Furniture"/>
    <s v="Guntur"/>
    <n v="5599"/>
    <n v="41"/>
    <n v="229559"/>
  </r>
  <r>
    <d v="2020-02-10T00:00:00"/>
    <x v="4"/>
    <s v="Laptops"/>
    <s v="Bapatla"/>
    <n v="499"/>
    <n v="39"/>
    <n v="19461"/>
  </r>
  <r>
    <d v="2020-02-14T00:00:00"/>
    <x v="1"/>
    <s v="Speakers"/>
    <s v="Guntur"/>
    <n v="1999"/>
    <n v="4"/>
    <n v="7996"/>
  </r>
  <r>
    <d v="2020-02-18T00:00:00"/>
    <x v="3"/>
    <s v="4K LED TV's"/>
    <s v="Guntur"/>
    <n v="63400"/>
    <n v="8"/>
    <n v="507200"/>
  </r>
  <r>
    <d v="2020-02-22T00:00:00"/>
    <x v="5"/>
    <s v="Speakers"/>
    <s v="Tenali"/>
    <n v="1499"/>
    <n v="27"/>
    <n v="40473"/>
  </r>
  <r>
    <d v="2020-02-26T00:00:00"/>
    <x v="3"/>
    <s v="Mobiles"/>
    <s v="Bapatla"/>
    <n v="120"/>
    <n v="10"/>
    <n v="1200"/>
  </r>
  <r>
    <d v="2020-03-01T00:00:00"/>
    <x v="1"/>
    <s v="Laptops"/>
    <s v="Chirala"/>
    <n v="11999"/>
    <n v="17"/>
    <n v="203983"/>
  </r>
  <r>
    <d v="2020-03-05T00:00:00"/>
    <x v="2"/>
    <s v="4K LED TV's"/>
    <s v="Vijayawada"/>
    <n v="47500"/>
    <n v="27"/>
    <n v="1282500"/>
  </r>
  <r>
    <d v="2020-03-09T00:00:00"/>
    <x v="4"/>
    <s v="Laptops"/>
    <s v="Vijayawada"/>
    <n v="2999"/>
    <n v="43"/>
    <n v="128957"/>
  </r>
  <r>
    <d v="2020-03-13T00:00:00"/>
    <x v="3"/>
    <s v="Mobiles"/>
    <s v="Vijayawada"/>
    <n v="8900"/>
    <n v="9"/>
    <n v="80100"/>
  </r>
  <r>
    <d v="2020-03-17T00:00:00"/>
    <x v="1"/>
    <s v="Laptops"/>
    <s v="Guntur"/>
    <n v="22000"/>
    <n v="42"/>
    <n v="924000"/>
  </r>
  <r>
    <d v="2020-03-21T00:00:00"/>
    <x v="2"/>
    <s v="LED TV's"/>
    <s v="Vijayawada"/>
    <n v="1250"/>
    <n v="6"/>
    <n v="7500"/>
  </r>
  <r>
    <d v="2020-03-25T00:00:00"/>
    <x v="3"/>
    <s v="Mobiles"/>
    <s v="Tenali"/>
    <n v="999"/>
    <n v="28"/>
    <n v="27972"/>
  </r>
  <r>
    <d v="2020-03-29T00:00:00"/>
    <x v="4"/>
    <s v="LED TV's"/>
    <s v="Chirala"/>
    <n v="1450"/>
    <n v="13"/>
    <n v="18850"/>
  </r>
  <r>
    <d v="2020-04-02T00:00:00"/>
    <x v="4"/>
    <s v="LED TV's"/>
    <s v="Bapatla"/>
    <n v="23999"/>
    <n v="8"/>
    <n v="191992"/>
  </r>
  <r>
    <d v="2020-04-06T00:00:00"/>
    <x v="1"/>
    <s v="4K LED TV's"/>
    <s v="Chirala"/>
    <n v="65200"/>
    <n v="7"/>
    <n v="456400"/>
  </r>
  <r>
    <d v="2020-04-10T00:00:00"/>
    <x v="1"/>
    <s v="Speakers"/>
    <s v="Vijayawada"/>
    <n v="699"/>
    <n v="45"/>
    <n v="31455"/>
  </r>
  <r>
    <d v="2020-04-14T00:00:00"/>
    <x v="0"/>
    <s v="Furniture"/>
    <s v="Guntur"/>
    <n v="2550"/>
    <n v="22"/>
    <n v="56100"/>
  </r>
  <r>
    <d v="2020-04-18T00:00:00"/>
    <x v="2"/>
    <s v="Laptops"/>
    <s v="Chirala"/>
    <n v="22000"/>
    <n v="4"/>
    <n v="88000"/>
  </r>
  <r>
    <d v="2020-04-22T00:00:00"/>
    <x v="4"/>
    <s v="4K LED TV's"/>
    <s v="Guntur"/>
    <n v="22000"/>
    <n v="10"/>
    <n v="220000"/>
  </r>
  <r>
    <d v="2020-04-26T00:00:00"/>
    <x v="5"/>
    <s v="Speakers"/>
    <s v="Tenali"/>
    <n v="1499"/>
    <n v="16"/>
    <n v="23984"/>
  </r>
  <r>
    <d v="2020-04-30T00:00:00"/>
    <x v="1"/>
    <s v="Mobiles"/>
    <s v="Chirala"/>
    <n v="120"/>
    <n v="22"/>
    <n v="2640"/>
  </r>
  <r>
    <d v="2020-05-04T00:00:00"/>
    <x v="0"/>
    <s v="Furniture"/>
    <s v="Bapatla"/>
    <n v="1450"/>
    <n v="20"/>
    <n v="29000"/>
  </r>
  <r>
    <d v="2020-05-08T00:00:00"/>
    <x v="5"/>
    <s v="Speakers"/>
    <s v="Tenali"/>
    <n v="1999"/>
    <n v="23"/>
    <n v="45977"/>
  </r>
  <r>
    <d v="2020-05-12T00:00:00"/>
    <x v="1"/>
    <s v="Furniture"/>
    <s v="Guntur"/>
    <n v="800"/>
    <n v="43"/>
    <n v="34400"/>
  </r>
  <r>
    <d v="2020-05-16T00:00:00"/>
    <x v="2"/>
    <s v="Mobiles"/>
    <s v="Tenali"/>
    <n v="18000"/>
    <n v="41"/>
    <n v="738000"/>
  </r>
  <r>
    <d v="2020-05-20T00:00:00"/>
    <x v="0"/>
    <s v="Furniture"/>
    <s v="Vijayawada"/>
    <n v="13999"/>
    <n v="37"/>
    <n v="517963"/>
  </r>
  <r>
    <d v="2020-05-24T00:00:00"/>
    <x v="1"/>
    <s v="Laptops"/>
    <s v="Tenali"/>
    <n v="22000"/>
    <n v="45"/>
    <n v="990000"/>
  </r>
  <r>
    <d v="2020-05-28T00:00:00"/>
    <x v="4"/>
    <s v="4K LED TV's"/>
    <s v="Guntur"/>
    <n v="89999"/>
    <n v="15"/>
    <n v="1349985"/>
  </r>
  <r>
    <d v="2020-06-01T00:00:00"/>
    <x v="0"/>
    <s v="Furniture"/>
    <s v="Bapatla"/>
    <n v="13999"/>
    <n v="22"/>
    <n v="307978"/>
  </r>
  <r>
    <d v="2020-06-05T00:00:00"/>
    <x v="2"/>
    <s v="Speakers"/>
    <s v="Vijayawada"/>
    <n v="2900"/>
    <n v="20"/>
    <n v="58000"/>
  </r>
  <r>
    <d v="2020-06-09T00:00:00"/>
    <x v="1"/>
    <s v="Laptops"/>
    <s v="Tenali"/>
    <n v="33000"/>
    <n v="16"/>
    <n v="528000"/>
  </r>
  <r>
    <d v="2020-06-13T00:00:00"/>
    <x v="2"/>
    <s v="Laptops"/>
    <s v="Vijayawada"/>
    <n v="22000"/>
    <n v="17"/>
    <n v="374000"/>
  </r>
  <r>
    <d v="2020-06-17T00:00:00"/>
    <x v="5"/>
    <s v="Speakers"/>
    <s v="Vijayawada"/>
    <n v="699"/>
    <n v="50"/>
    <n v="34950"/>
  </r>
  <r>
    <d v="2020-06-21T00:00:00"/>
    <x v="4"/>
    <s v="Laptops"/>
    <s v="Bapatla"/>
    <n v="499"/>
    <n v="4"/>
    <n v="1996"/>
  </r>
  <r>
    <d v="2020-06-25T00:00:00"/>
    <x v="1"/>
    <s v="Speakers"/>
    <s v="Tenali"/>
    <n v="590"/>
    <n v="43"/>
    <n v="25370"/>
  </r>
  <r>
    <d v="2020-06-29T00:00:00"/>
    <x v="5"/>
    <s v="Speakers"/>
    <s v="Vijayawada"/>
    <n v="590"/>
    <n v="42"/>
    <n v="24780"/>
  </r>
  <r>
    <d v="2020-07-03T00:00:00"/>
    <x v="1"/>
    <s v="4K LED TV's"/>
    <s v="Guntur"/>
    <n v="120"/>
    <n v="9"/>
    <n v="1080"/>
  </r>
  <r>
    <d v="2020-07-07T00:00:00"/>
    <x v="4"/>
    <s v="Laptops"/>
    <s v="Chirala"/>
    <n v="52000"/>
    <n v="40"/>
    <n v="2080000"/>
  </r>
  <r>
    <d v="2020-07-11T00:00:00"/>
    <x v="2"/>
    <s v="LED TV's"/>
    <s v="Tenali"/>
    <n v="7999"/>
    <n v="14"/>
    <n v="111986"/>
  </r>
  <r>
    <d v="2020-07-15T00:00:00"/>
    <x v="1"/>
    <s v="LED TV's"/>
    <s v="Chirala"/>
    <n v="550"/>
    <n v="9"/>
    <n v="4950"/>
  </r>
  <r>
    <d v="2020-07-19T00:00:00"/>
    <x v="2"/>
    <s v="4K LED TV's"/>
    <s v="Tenali"/>
    <n v="79999"/>
    <n v="10"/>
    <n v="799990"/>
  </r>
  <r>
    <d v="2020-07-23T00:00:00"/>
    <x v="5"/>
    <s v="Speakers"/>
    <s v="Tenali"/>
    <n v="1999"/>
    <n v="37"/>
    <n v="73963"/>
  </r>
  <r>
    <d v="2020-07-27T00:00:00"/>
    <x v="4"/>
    <s v="Laptops"/>
    <s v="Bapatla"/>
    <n v="89999"/>
    <n v="29"/>
    <n v="2609971"/>
  </r>
  <r>
    <d v="2020-07-31T00:00:00"/>
    <x v="1"/>
    <s v="4K LED TV's"/>
    <s v="Tenali"/>
    <n v="78500"/>
    <n v="44"/>
    <n v="3454000"/>
  </r>
  <r>
    <d v="2020-08-04T00:00:00"/>
    <x v="4"/>
    <s v="Laptops"/>
    <s v="Vijayawada"/>
    <n v="3990"/>
    <n v="31"/>
    <n v="123690"/>
  </r>
  <r>
    <d v="2020-08-08T00:00:00"/>
    <x v="2"/>
    <s v="Laptops"/>
    <s v="Tenali"/>
    <n v="52000"/>
    <n v="29"/>
    <n v="1508000"/>
  </r>
  <r>
    <d v="2020-08-12T00:00:00"/>
    <x v="0"/>
    <s v="4K LED TV's"/>
    <s v="Tenali"/>
    <n v="13999"/>
    <n v="34"/>
    <n v="475966"/>
  </r>
  <r>
    <d v="2020-08-16T00:00:00"/>
    <x v="1"/>
    <s v="Mobiles"/>
    <s v="Vijayawada"/>
    <n v="120"/>
    <n v="29"/>
    <n v="3480"/>
  </r>
  <r>
    <d v="2020-08-20T00:00:00"/>
    <x v="4"/>
    <s v="LED TV's"/>
    <s v="Vijayawada"/>
    <n v="23999"/>
    <n v="25"/>
    <n v="599975"/>
  </r>
  <r>
    <d v="2020-08-24T00:00:00"/>
    <x v="4"/>
    <s v="4K LED TV's"/>
    <s v="Tenali"/>
    <n v="45000"/>
    <n v="31"/>
    <n v="1395000"/>
  </r>
  <r>
    <d v="2020-08-28T00:00:00"/>
    <x v="1"/>
    <s v="Speakers"/>
    <s v="Vijayawada"/>
    <n v="450"/>
    <n v="16"/>
    <n v="7200"/>
  </r>
  <r>
    <d v="2020-09-01T00:00:00"/>
    <x v="3"/>
    <s v="Mobiles"/>
    <s v="Tenali"/>
    <n v="65000"/>
    <n v="48"/>
    <n v="3120000"/>
  </r>
  <r>
    <d v="2020-09-05T00:00:00"/>
    <x v="2"/>
    <s v="4K LED TV's"/>
    <s v="Chirala"/>
    <n v="35600"/>
    <n v="22"/>
    <n v="783200"/>
  </r>
  <r>
    <d v="2020-09-09T00:00:00"/>
    <x v="5"/>
    <s v="Speakers"/>
    <s v="Bapatla"/>
    <n v="699"/>
    <n v="6"/>
    <n v="4194"/>
  </r>
  <r>
    <d v="2020-09-13T00:00:00"/>
    <x v="1"/>
    <s v="Speakers"/>
    <s v="Vijayawada"/>
    <n v="990"/>
    <n v="12"/>
    <n v="11880"/>
  </r>
  <r>
    <d v="2020-09-17T00:00:00"/>
    <x v="5"/>
    <s v="4K LED TV's"/>
    <s v="Guntur"/>
    <n v="450"/>
    <n v="44"/>
    <n v="19800"/>
  </r>
  <r>
    <d v="2020-09-21T00:00:00"/>
    <x v="5"/>
    <s v="Speakers"/>
    <s v="Bapatla"/>
    <n v="1499"/>
    <n v="15"/>
    <n v="22485"/>
  </r>
  <r>
    <d v="2020-09-25T00:00:00"/>
    <x v="0"/>
    <s v="Furniture"/>
    <s v="Chirala"/>
    <n v="499"/>
    <n v="26"/>
    <n v="12974"/>
  </r>
  <r>
    <d v="2020-09-29T00:00:00"/>
    <x v="2"/>
    <s v="4K LED TV's"/>
    <s v="Chirala"/>
    <n v="44000"/>
    <n v="16"/>
    <n v="704000"/>
  </r>
  <r>
    <d v="2020-10-03T00:00:00"/>
    <x v="0"/>
    <s v="Furniture"/>
    <s v="Tenali"/>
    <n v="5599"/>
    <n v="35"/>
    <n v="195965"/>
  </r>
  <r>
    <d v="2020-10-07T00:00:00"/>
    <x v="3"/>
    <s v="4K LED TV's"/>
    <s v="Guntur"/>
    <n v="54100"/>
    <n v="36"/>
    <n v="1947600"/>
  </r>
  <r>
    <d v="2020-10-11T00:00:00"/>
    <x v="0"/>
    <s v="Furniture"/>
    <s v="Bapatla"/>
    <n v="2550"/>
    <n v="20"/>
    <n v="51000"/>
  </r>
  <r>
    <d v="2020-10-15T00:00:00"/>
    <x v="1"/>
    <s v="4K LED TV's"/>
    <s v="Bapatla"/>
    <n v="1450"/>
    <n v="47"/>
    <n v="68150"/>
  </r>
  <r>
    <d v="2020-10-19T00:00:00"/>
    <x v="5"/>
    <s v="Speakers"/>
    <s v="Tenali"/>
    <n v="2900"/>
    <n v="6"/>
    <n v="17400"/>
  </r>
  <r>
    <d v="2020-10-23T00:00:00"/>
    <x v="3"/>
    <s v="4K LED TV's"/>
    <s v="Chirala"/>
    <n v="65200"/>
    <n v="6"/>
    <n v="391200"/>
  </r>
  <r>
    <d v="2020-10-27T00:00:00"/>
    <x v="1"/>
    <s v="Laptops"/>
    <s v="Chirala"/>
    <n v="52000"/>
    <n v="41"/>
    <n v="2132000"/>
  </r>
  <r>
    <d v="2020-10-31T00:00:00"/>
    <x v="2"/>
    <s v="4K LED TV's"/>
    <s v="Vijayawada"/>
    <n v="59000"/>
    <n v="29"/>
    <n v="1711000"/>
  </r>
  <r>
    <d v="2020-11-04T00:00:00"/>
    <x v="4"/>
    <s v="LED TV's"/>
    <s v="Chirala"/>
    <n v="7999"/>
    <n v="31"/>
    <n v="247969"/>
  </r>
  <r>
    <d v="2020-11-08T00:00:00"/>
    <x v="1"/>
    <s v="Mobiles"/>
    <s v="Vijayawada"/>
    <n v="45000"/>
    <n v="34"/>
    <n v="1530000"/>
  </r>
  <r>
    <d v="2020-11-12T00:00:00"/>
    <x v="5"/>
    <s v="Speakers"/>
    <s v="Guntur"/>
    <n v="990"/>
    <n v="43"/>
    <n v="42570"/>
  </r>
  <r>
    <d v="2020-11-16T00:00:00"/>
    <x v="4"/>
    <s v="Laptops"/>
    <s v="Guntur"/>
    <n v="11999"/>
    <n v="37"/>
    <n v="443963"/>
  </r>
  <r>
    <d v="2020-11-20T00:00:00"/>
    <x v="4"/>
    <s v="LED TV's"/>
    <s v="Guntur"/>
    <n v="960"/>
    <n v="7"/>
    <n v="6720"/>
  </r>
  <r>
    <d v="2020-11-24T00:00:00"/>
    <x v="1"/>
    <s v="Furniture"/>
    <s v="Bapatla"/>
    <n v="1450"/>
    <n v="19"/>
    <n v="27550"/>
  </r>
  <r>
    <d v="2020-11-28T00:00:00"/>
    <x v="2"/>
    <s v="4K LED TV's"/>
    <s v="Vijayawada"/>
    <n v="45000"/>
    <n v="47"/>
    <n v="2115000"/>
  </r>
  <r>
    <d v="2020-12-02T00:00:00"/>
    <x v="1"/>
    <s v="Speakers"/>
    <s v="Vijayawada"/>
    <n v="1499"/>
    <n v="37"/>
    <n v="55463"/>
  </r>
  <r>
    <d v="2020-12-06T00:00:00"/>
    <x v="4"/>
    <s v="Laptops"/>
    <s v="Bapatla"/>
    <n v="79999"/>
    <n v="4"/>
    <n v="319996"/>
  </r>
  <r>
    <d v="2020-12-10T00:00:00"/>
    <x v="3"/>
    <s v="4K LED TV's"/>
    <s v="Chirala"/>
    <n v="999"/>
    <n v="45"/>
    <n v="44955"/>
  </r>
  <r>
    <d v="2020-12-14T00:00:00"/>
    <x v="1"/>
    <s v="Laptops"/>
    <s v="Guntur"/>
    <n v="52000"/>
    <n v="15"/>
    <n v="780000"/>
  </r>
  <r>
    <d v="2020-12-18T00:00:00"/>
    <x v="2"/>
    <s v="4K LED TV's"/>
    <s v="Tenali"/>
    <n v="52000"/>
    <n v="39"/>
    <n v="2028000"/>
  </r>
  <r>
    <d v="2020-12-22T00:00:00"/>
    <x v="4"/>
    <s v="LED TV's"/>
    <s v="Bapatla"/>
    <n v="960"/>
    <n v="33"/>
    <n v="31680"/>
  </r>
  <r>
    <d v="2020-12-26T00:00:00"/>
    <x v="4"/>
    <s v="4K LED TV's"/>
    <s v="Tenali"/>
    <n v="19500"/>
    <n v="45"/>
    <n v="877500"/>
  </r>
  <r>
    <d v="2020-12-30T00:00:00"/>
    <x v="4"/>
    <s v="Laptops"/>
    <s v="Tenali"/>
    <n v="2999"/>
    <n v="33"/>
    <n v="98967"/>
  </r>
  <r>
    <d v="2021-01-03T00:00:00"/>
    <x v="1"/>
    <s v="LED TV's"/>
    <s v="Chirala"/>
    <n v="1250"/>
    <n v="14"/>
    <n v="17500"/>
  </r>
  <r>
    <d v="2021-01-07T00:00:00"/>
    <x v="1"/>
    <s v="Mobiles"/>
    <s v="Guntur"/>
    <n v="120"/>
    <n v="41"/>
    <n v="4920"/>
  </r>
  <r>
    <d v="2021-01-11T00:00:00"/>
    <x v="2"/>
    <s v="Furniture"/>
    <s v="Tenali"/>
    <n v="1450"/>
    <n v="22"/>
    <n v="31900"/>
  </r>
  <r>
    <d v="2021-01-15T00:00:00"/>
    <x v="4"/>
    <s v="Laptops"/>
    <s v="Guntur"/>
    <n v="89999"/>
    <n v="15"/>
    <n v="1349985"/>
  </r>
  <r>
    <d v="2021-01-19T00:00:00"/>
    <x v="5"/>
    <s v="4K LED TV's"/>
    <s v="Bapatla"/>
    <n v="1999"/>
    <n v="48"/>
    <n v="95952"/>
  </r>
  <r>
    <d v="2021-01-23T00:00:00"/>
    <x v="5"/>
    <s v="Speakers"/>
    <s v="Tenali"/>
    <n v="2900"/>
    <n v="49"/>
    <n v="142100"/>
  </r>
  <r>
    <d v="2021-01-27T00:00:00"/>
    <x v="4"/>
    <s v="Laptops"/>
    <s v="Chirala"/>
    <n v="700"/>
    <n v="50"/>
    <n v="35000"/>
  </r>
  <r>
    <d v="2021-01-31T00:00:00"/>
    <x v="3"/>
    <s v="Mobiles"/>
    <s v="Tenali"/>
    <n v="200"/>
    <n v="41"/>
    <n v="8200"/>
  </r>
  <r>
    <d v="2021-02-04T00:00:00"/>
    <x v="2"/>
    <s v="4K LED TV's"/>
    <s v="Vijayawada"/>
    <n v="49000"/>
    <n v="29"/>
    <n v="1421000"/>
  </r>
  <r>
    <d v="2021-02-08T00:00:00"/>
    <x v="0"/>
    <s v="Furniture"/>
    <s v="Chirala"/>
    <n v="5599"/>
    <n v="36"/>
    <n v="201564"/>
  </r>
  <r>
    <d v="2021-02-12T00:00:00"/>
    <x v="3"/>
    <s v="Mobiles"/>
    <s v="Tenali"/>
    <n v="13500"/>
    <n v="39"/>
    <n v="526500"/>
  </r>
  <r>
    <d v="2021-02-16T00:00:00"/>
    <x v="2"/>
    <s v="Laptops"/>
    <s v="Tenali"/>
    <n v="79999"/>
    <n v="9"/>
    <n v="719991"/>
  </r>
  <r>
    <d v="2021-02-20T00:00:00"/>
    <x v="4"/>
    <s v="4K LED TV's"/>
    <s v="Bapatla"/>
    <n v="75200"/>
    <n v="38"/>
    <n v="2857600"/>
  </r>
  <r>
    <d v="2021-02-24T00:00:00"/>
    <x v="4"/>
    <s v="LED TV's"/>
    <s v="Guntur"/>
    <n v="550"/>
    <n v="25"/>
    <n v="13750"/>
  </r>
  <r>
    <d v="2021-02-28T00:00:00"/>
    <x v="0"/>
    <s v="Furniture"/>
    <s v="Guntur"/>
    <n v="499"/>
    <n v="50"/>
    <n v="24950"/>
  </r>
  <r>
    <d v="2021-03-04T00:00:00"/>
    <x v="0"/>
    <s v="Furniture"/>
    <s v="Vijayawada"/>
    <n v="5599"/>
    <n v="33"/>
    <n v="184767"/>
  </r>
  <r>
    <d v="2021-03-08T00:00:00"/>
    <x v="2"/>
    <s v="LED TV's"/>
    <s v="Bapatla"/>
    <n v="1450"/>
    <n v="44"/>
    <n v="63800"/>
  </r>
  <r>
    <d v="2021-03-12T00:00:00"/>
    <x v="3"/>
    <s v="Mobiles"/>
    <s v="Guntur"/>
    <n v="999"/>
    <n v="31"/>
    <n v="30969"/>
  </r>
  <r>
    <d v="2021-03-16T00:00:00"/>
    <x v="3"/>
    <s v="Mobiles"/>
    <s v="Tenali"/>
    <n v="100"/>
    <n v="11"/>
    <n v="1100"/>
  </r>
  <r>
    <d v="2021-03-20T00:00:00"/>
    <x v="2"/>
    <s v="Furniture"/>
    <s v="Tenali"/>
    <n v="2550"/>
    <n v="48"/>
    <n v="122400"/>
  </r>
  <r>
    <d v="2021-03-24T00:00:00"/>
    <x v="4"/>
    <s v="Laptops"/>
    <s v="Tenali"/>
    <n v="33000"/>
    <n v="26"/>
    <n v="858000"/>
  </r>
  <r>
    <d v="2021-03-28T00:00:00"/>
    <x v="1"/>
    <s v="Furniture"/>
    <s v="Bapatla"/>
    <n v="800"/>
    <n v="39"/>
    <n v="31200"/>
  </r>
  <r>
    <d v="2021-04-01T00:00:00"/>
    <x v="5"/>
    <s v="Speakers"/>
    <s v="Bapatla"/>
    <n v="990"/>
    <n v="9"/>
    <n v="8910"/>
  </r>
  <r>
    <d v="2021-04-05T00:00:00"/>
    <x v="0"/>
    <s v="Furniture"/>
    <s v="Guntur"/>
    <n v="5599"/>
    <n v="41"/>
    <n v="229559"/>
  </r>
  <r>
    <d v="2021-04-09T00:00:00"/>
    <x v="4"/>
    <s v="Laptops"/>
    <s v="Guntur"/>
    <n v="499"/>
    <n v="39"/>
    <n v="19461"/>
  </r>
  <r>
    <d v="2021-04-13T00:00:00"/>
    <x v="5"/>
    <s v="Speakers"/>
    <s v="Guntur"/>
    <n v="1999"/>
    <n v="4"/>
    <n v="7996"/>
  </r>
  <r>
    <d v="2021-04-17T00:00:00"/>
    <x v="2"/>
    <s v="Mobiles"/>
    <s v="Guntur"/>
    <n v="200"/>
    <n v="8"/>
    <n v="1600"/>
  </r>
  <r>
    <d v="2021-04-21T00:00:00"/>
    <x v="5"/>
    <s v="Speakers"/>
    <s v="Bapatla"/>
    <n v="1499"/>
    <n v="27"/>
    <n v="40473"/>
  </r>
  <r>
    <d v="2021-04-25T00:00:00"/>
    <x v="3"/>
    <s v="Mobiles"/>
    <s v="Chirala"/>
    <n v="120"/>
    <n v="10"/>
    <n v="1200"/>
  </r>
  <r>
    <d v="2021-04-29T00:00:00"/>
    <x v="1"/>
    <s v="Laptops"/>
    <s v="Chirala"/>
    <n v="11999"/>
    <n v="17"/>
    <n v="203983"/>
  </r>
  <r>
    <d v="2021-05-03T00:00:00"/>
    <x v="1"/>
    <s v="Laptops"/>
    <s v="Vijayawada"/>
    <n v="999"/>
    <n v="27"/>
    <n v="26973"/>
  </r>
  <r>
    <d v="2021-05-07T00:00:00"/>
    <x v="2"/>
    <s v="Laptops"/>
    <s v="Bapatla"/>
    <n v="2999"/>
    <n v="43"/>
    <n v="128957"/>
  </r>
  <r>
    <d v="2021-05-11T00:00:00"/>
    <x v="3"/>
    <s v="4K LED TV's"/>
    <s v="Vijayawada"/>
    <n v="47800"/>
    <n v="9"/>
    <n v="430200"/>
  </r>
  <r>
    <d v="2021-05-15T00:00:00"/>
    <x v="4"/>
    <s v="4K LED TV's"/>
    <s v="Guntur"/>
    <n v="22000"/>
    <n v="42"/>
    <n v="924000"/>
  </r>
  <r>
    <d v="2021-05-19T00:00:00"/>
    <x v="4"/>
    <s v="LED TV's"/>
    <s v="Vijayawada"/>
    <n v="1250"/>
    <n v="6"/>
    <n v="7500"/>
  </r>
  <r>
    <d v="2021-05-23T00:00:00"/>
    <x v="3"/>
    <s v="Mobiles"/>
    <s v="Bapatla"/>
    <n v="999"/>
    <n v="28"/>
    <n v="27972"/>
  </r>
  <r>
    <d v="2021-05-27T00:00:00"/>
    <x v="4"/>
    <s v="LED TV's"/>
    <s v="Chirala"/>
    <n v="1450"/>
    <n v="13"/>
    <n v="18850"/>
  </r>
  <r>
    <d v="2021-05-31T00:00:00"/>
    <x v="4"/>
    <s v="LED TV's"/>
    <s v="Chirala"/>
    <n v="23999"/>
    <n v="8"/>
    <n v="191992"/>
  </r>
  <r>
    <d v="2021-06-04T00:00:00"/>
    <x v="1"/>
    <s v="4K LED TV's"/>
    <s v="Chirala"/>
    <n v="92000"/>
    <n v="7"/>
    <n v="644000"/>
  </r>
  <r>
    <d v="2021-06-08T00:00:00"/>
    <x v="5"/>
    <s v="Speakers"/>
    <s v="Bapatla"/>
    <n v="699"/>
    <n v="45"/>
    <n v="31455"/>
  </r>
  <r>
    <d v="2021-06-12T00:00:00"/>
    <x v="0"/>
    <s v="Furniture"/>
    <s v="Guntur"/>
    <n v="2550"/>
    <n v="22"/>
    <n v="56100"/>
  </r>
  <r>
    <d v="2021-06-16T00:00:00"/>
    <x v="2"/>
    <s v="Laptops"/>
    <s v="Chirala"/>
    <n v="22000"/>
    <n v="4"/>
    <n v="88000"/>
  </r>
  <r>
    <d v="2021-06-20T00:00:00"/>
    <x v="4"/>
    <s v="Laptops"/>
    <s v="Guntur"/>
    <n v="22000"/>
    <n v="10"/>
    <n v="220000"/>
  </r>
  <r>
    <d v="2021-06-24T00:00:00"/>
    <x v="1"/>
    <s v="Speakers"/>
    <s v="Bapatla"/>
    <n v="1499"/>
    <n v="16"/>
    <n v="23984"/>
  </r>
  <r>
    <d v="2021-06-28T00:00:00"/>
    <x v="3"/>
    <s v="Mobiles"/>
    <s v="Chirala"/>
    <n v="120"/>
    <n v="22"/>
    <n v="2640"/>
  </r>
  <r>
    <d v="2021-07-02T00:00:00"/>
    <x v="0"/>
    <s v="Furniture"/>
    <s v="Vijayawada"/>
    <n v="1450"/>
    <n v="20"/>
    <n v="29000"/>
  </r>
  <r>
    <d v="2021-07-06T00:00:00"/>
    <x v="5"/>
    <s v="Speakers"/>
    <s v="Bapatla"/>
    <n v="1999"/>
    <n v="23"/>
    <n v="45977"/>
  </r>
  <r>
    <d v="2021-07-10T00:00:00"/>
    <x v="1"/>
    <s v="Furniture"/>
    <s v="Ongole"/>
    <n v="800"/>
    <n v="43"/>
    <n v="34400"/>
  </r>
  <r>
    <d v="2021-07-14T00:00:00"/>
    <x v="3"/>
    <s v="Mobiles"/>
    <s v="Chirala"/>
    <n v="100"/>
    <n v="41"/>
    <n v="4100"/>
  </r>
  <r>
    <d v="2021-07-18T00:00:00"/>
    <x v="0"/>
    <s v="4K LED TV's"/>
    <s v="Chirala"/>
    <n v="13999"/>
    <n v="37"/>
    <n v="517963"/>
  </r>
  <r>
    <d v="2021-07-22T00:00:00"/>
    <x v="2"/>
    <s v="Laptops"/>
    <s v="Tenali"/>
    <n v="22000"/>
    <n v="45"/>
    <n v="990000"/>
  </r>
  <r>
    <d v="2021-07-26T00:00:00"/>
    <x v="4"/>
    <s v="Laptops"/>
    <s v="Ongole"/>
    <n v="89999"/>
    <n v="15"/>
    <n v="1349985"/>
  </r>
  <r>
    <d v="2021-07-30T00:00:00"/>
    <x v="0"/>
    <s v="Furniture"/>
    <s v="Tenali"/>
    <n v="13999"/>
    <n v="22"/>
    <n v="307978"/>
  </r>
  <r>
    <d v="2021-08-03T00:00:00"/>
    <x v="1"/>
    <s v="Speakers"/>
    <s v="Bapatla"/>
    <n v="2900"/>
    <n v="20"/>
    <n v="58000"/>
  </r>
  <r>
    <d v="2021-08-07T00:00:00"/>
    <x v="4"/>
    <s v="Laptops"/>
    <s v="Tenali"/>
    <n v="33000"/>
    <n v="16"/>
    <n v="528000"/>
  </r>
  <r>
    <d v="2021-08-11T00:00:00"/>
    <x v="1"/>
    <s v="Laptops"/>
    <s v="Vijayawada"/>
    <n v="22000"/>
    <n v="17"/>
    <n v="374000"/>
  </r>
  <r>
    <d v="2021-08-15T00:00:00"/>
    <x v="1"/>
    <s v="Speakers"/>
    <s v="Vijayawada"/>
    <n v="45000"/>
    <n v="50"/>
    <n v="2250000"/>
  </r>
  <r>
    <d v="2021-08-19T00:00:00"/>
    <x v="4"/>
    <s v="4K LED TV's"/>
    <s v="Bapatla"/>
    <n v="499"/>
    <n v="4"/>
    <n v="1996"/>
  </r>
  <r>
    <d v="2021-08-23T00:00:00"/>
    <x v="5"/>
    <s v="Speakers"/>
    <s v="Tenali"/>
    <n v="590"/>
    <n v="43"/>
    <n v="25370"/>
  </r>
  <r>
    <d v="2021-08-27T00:00:00"/>
    <x v="2"/>
    <s v="Speakers"/>
    <s v="Vijayawada"/>
    <n v="590"/>
    <n v="42"/>
    <n v="24780"/>
  </r>
  <r>
    <d v="2021-08-31T00:00:00"/>
    <x v="3"/>
    <s v="Mobiles"/>
    <s v="Guntur"/>
    <n v="12000"/>
    <n v="9"/>
    <n v="108000"/>
  </r>
  <r>
    <d v="2021-09-04T00:00:00"/>
    <x v="4"/>
    <s v="Laptops"/>
    <s v="Ongole"/>
    <n v="52000"/>
    <n v="40"/>
    <n v="2080000"/>
  </r>
  <r>
    <d v="2021-09-08T00:00:00"/>
    <x v="4"/>
    <s v="LED TV's"/>
    <s v="Tenali"/>
    <n v="7999"/>
    <n v="14"/>
    <n v="111986"/>
  </r>
  <r>
    <d v="2021-09-12T00:00:00"/>
    <x v="1"/>
    <s v="LED TV's"/>
    <s v="Chirala"/>
    <n v="5000"/>
    <n v="9"/>
    <n v="45000"/>
  </r>
  <r>
    <d v="2021-09-16T00:00:00"/>
    <x v="4"/>
    <s v="Laptops"/>
    <s v="Tenali"/>
    <n v="79999"/>
    <n v="10"/>
    <n v="799990"/>
  </r>
  <r>
    <d v="2021-09-20T00:00:00"/>
    <x v="5"/>
    <s v="4K LED TV's"/>
    <s v="Bapatla"/>
    <n v="1999"/>
    <n v="37"/>
    <n v="73963"/>
  </r>
  <r>
    <d v="2021-09-24T00:00:00"/>
    <x v="4"/>
    <s v="Laptops"/>
    <s v="Tenali"/>
    <n v="89999"/>
    <n v="29"/>
    <n v="2609971"/>
  </r>
  <r>
    <d v="2021-09-28T00:00:00"/>
    <x v="2"/>
    <s v="Laptops"/>
    <s v="Guntur"/>
    <n v="799"/>
    <n v="44"/>
    <n v="35156"/>
  </r>
  <r>
    <d v="2021-10-02T00:00:00"/>
    <x v="4"/>
    <s v="Laptops"/>
    <s v="Vijayawada"/>
    <n v="3990"/>
    <n v="31"/>
    <n v="123690"/>
  </r>
  <r>
    <d v="2021-10-06T00:00:00"/>
    <x v="1"/>
    <s v="Laptops"/>
    <s v="Bapatla"/>
    <n v="52000"/>
    <n v="29"/>
    <n v="1508000"/>
  </r>
  <r>
    <d v="2021-10-10T00:00:00"/>
    <x v="1"/>
    <s v="Furniture"/>
    <s v="Tenali"/>
    <n v="13999"/>
    <n v="34"/>
    <n v="475966"/>
  </r>
  <r>
    <d v="2021-10-14T00:00:00"/>
    <x v="3"/>
    <s v="Mobiles"/>
    <s v="Bapatla"/>
    <n v="14500"/>
    <n v="29"/>
    <n v="420500"/>
  </r>
  <r>
    <d v="2021-10-18T00:00:00"/>
    <x v="4"/>
    <s v="LED TV's"/>
    <s v="Ongole"/>
    <n v="23999"/>
    <n v="25"/>
    <n v="599975"/>
  </r>
  <r>
    <d v="2021-10-22T00:00:00"/>
    <x v="4"/>
    <s v="LED TV's"/>
    <s v="Tenali"/>
    <n v="1250"/>
    <n v="31"/>
    <n v="38750"/>
  </r>
  <r>
    <d v="2021-10-26T00:00:00"/>
    <x v="5"/>
    <s v="4K LED TV's"/>
    <s v="Tenali"/>
    <n v="35600"/>
    <n v="16"/>
    <n v="569600"/>
  </r>
  <r>
    <d v="2021-10-30T00:00:00"/>
    <x v="3"/>
    <s v="Mobiles"/>
    <s v="Tenali"/>
    <n v="65000"/>
    <n v="48"/>
    <n v="3120000"/>
  </r>
  <r>
    <d v="2021-11-03T00:00:00"/>
    <x v="2"/>
    <s v="Mobiles"/>
    <s v="Ongole"/>
    <n v="12000"/>
    <n v="22"/>
    <n v="264000"/>
  </r>
  <r>
    <d v="2021-11-07T00:00:00"/>
    <x v="5"/>
    <s v="Speakers"/>
    <s v="Tenali"/>
    <n v="699"/>
    <n v="6"/>
    <n v="4194"/>
  </r>
  <r>
    <d v="2021-11-11T00:00:00"/>
    <x v="5"/>
    <s v="4K LED TV's"/>
    <s v="Bapatla"/>
    <n v="990"/>
    <n v="12"/>
    <n v="11880"/>
  </r>
  <r>
    <d v="2021-11-15T00:00:00"/>
    <x v="5"/>
    <s v="Speakers"/>
    <s v="Guntur"/>
    <n v="450"/>
    <n v="44"/>
    <n v="19800"/>
  </r>
  <r>
    <d v="2021-11-19T00:00:00"/>
    <x v="5"/>
    <s v="4K LED TV's"/>
    <s v="Guntur"/>
    <n v="1499"/>
    <n v="15"/>
    <n v="22485"/>
  </r>
  <r>
    <d v="2021-11-23T00:00:00"/>
    <x v="0"/>
    <s v="Furniture"/>
    <s v="Chirala"/>
    <n v="499"/>
    <n v="26"/>
    <n v="12974"/>
  </r>
  <r>
    <d v="2021-11-27T00:00:00"/>
    <x v="4"/>
    <s v="LED TV's"/>
    <s v="Chirala"/>
    <n v="960"/>
    <n v="16"/>
    <n v="15360"/>
  </r>
  <r>
    <d v="2021-12-01T00:00:00"/>
    <x v="2"/>
    <s v="4K LED TV's"/>
    <s v="Tenali"/>
    <n v="5599"/>
    <n v="35"/>
    <n v="195965"/>
  </r>
  <r>
    <d v="2021-12-05T00:00:00"/>
    <x v="3"/>
    <s v="Mobiles"/>
    <s v="Guntur"/>
    <n v="89"/>
    <n v="36"/>
    <n v="3204"/>
  </r>
  <r>
    <d v="2021-12-09T00:00:00"/>
    <x v="0"/>
    <s v="Furniture"/>
    <s v="Bapatla"/>
    <n v="2550"/>
    <n v="20"/>
    <n v="51000"/>
  </r>
  <r>
    <d v="2021-12-13T00:00:00"/>
    <x v="0"/>
    <s v="Furniture"/>
    <s v="Guntur"/>
    <n v="1450"/>
    <n v="47"/>
    <n v="68150"/>
  </r>
  <r>
    <d v="2021-12-17T00:00:00"/>
    <x v="5"/>
    <s v="Speakers"/>
    <s v="Tenali"/>
    <n v="2900"/>
    <n v="6"/>
    <n v="17400"/>
  </r>
  <r>
    <d v="2021-12-21T00:00:00"/>
    <x v="3"/>
    <s v="Mobiles"/>
    <s v="Chirala"/>
    <n v="120"/>
    <n v="6"/>
    <n v="720"/>
  </r>
  <r>
    <d v="2021-12-25T00:00:00"/>
    <x v="4"/>
    <s v="Laptops"/>
    <s v="Chirala"/>
    <n v="52000"/>
    <n v="41"/>
    <n v="2132000"/>
  </r>
  <r>
    <d v="2021-12-29T00:00:00"/>
    <x v="5"/>
    <s v="Speakers"/>
    <s v="Bapatla"/>
    <n v="590"/>
    <n v="29"/>
    <n v="17110"/>
  </r>
  <r>
    <d v="2022-01-02T00:00:00"/>
    <x v="4"/>
    <s v="4K LED TV's"/>
    <s v="Ongole"/>
    <n v="7999"/>
    <n v="31"/>
    <n v="247969"/>
  </r>
  <r>
    <d v="2022-01-06T00:00:00"/>
    <x v="1"/>
    <s v="Mobiles"/>
    <s v="Bapatla"/>
    <n v="999"/>
    <n v="34"/>
    <n v="33966"/>
  </r>
  <r>
    <d v="2022-01-10T00:00:00"/>
    <x v="2"/>
    <s v="Speakers"/>
    <s v="Guntur"/>
    <n v="990"/>
    <n v="43"/>
    <n v="42570"/>
  </r>
  <r>
    <d v="2022-01-14T00:00:00"/>
    <x v="4"/>
    <s v="Laptops"/>
    <s v="Guntur"/>
    <n v="11999"/>
    <n v="37"/>
    <n v="443963"/>
  </r>
  <r>
    <d v="2022-01-18T00:00:00"/>
    <x v="4"/>
    <s v="LED TV's"/>
    <s v="Guntur"/>
    <n v="960"/>
    <n v="7"/>
    <n v="6720"/>
  </r>
  <r>
    <d v="2022-01-22T00:00:00"/>
    <x v="0"/>
    <s v="Furniture"/>
    <s v="Bapatla"/>
    <n v="1450"/>
    <n v="19"/>
    <n v="27550"/>
  </r>
  <r>
    <d v="2022-01-26T00:00:00"/>
    <x v="5"/>
    <s v="Speakers"/>
    <s v="Vijayawada"/>
    <n v="450"/>
    <n v="47"/>
    <n v="21150"/>
  </r>
  <r>
    <d v="2022-01-30T00:00:00"/>
    <x v="1"/>
    <s v="Speakers"/>
    <s v="Bapatla"/>
    <n v="1499"/>
    <n v="37"/>
    <n v="55463"/>
  </r>
  <r>
    <d v="2022-02-03T00:00:00"/>
    <x v="2"/>
    <s v="Laptops"/>
    <s v="Vijayawada"/>
    <n v="79999"/>
    <n v="4"/>
    <n v="319996"/>
  </r>
  <r>
    <d v="2022-02-07T00:00:00"/>
    <x v="2"/>
    <s v="Mobiles"/>
    <s v="Chirala"/>
    <n v="999"/>
    <n v="45"/>
    <n v="44955"/>
  </r>
  <r>
    <d v="2022-02-11T00:00:00"/>
    <x v="4"/>
    <s v="Laptops"/>
    <s v="Guntur"/>
    <n v="52000"/>
    <n v="15"/>
    <n v="780000"/>
  </r>
  <r>
    <d v="2022-02-15T00:00:00"/>
    <x v="4"/>
    <s v="Laptops"/>
    <s v="Tenali"/>
    <n v="52000"/>
    <n v="39"/>
    <n v="2028000"/>
  </r>
  <r>
    <d v="2022-02-19T00:00:00"/>
    <x v="4"/>
    <s v="LED TV's"/>
    <s v="Bapatla"/>
    <n v="960"/>
    <n v="33"/>
    <n v="31680"/>
  </r>
  <r>
    <d v="2022-02-23T00:00:00"/>
    <x v="4"/>
    <s v="LED TV's"/>
    <s v="Bapatla"/>
    <n v="1450"/>
    <n v="34"/>
    <n v="49300"/>
  </r>
  <r>
    <d v="2022-02-27T00:00:00"/>
    <x v="4"/>
    <s v="4K LED TV's"/>
    <s v="Tenali"/>
    <n v="2999"/>
    <n v="33"/>
    <n v="98967"/>
  </r>
  <r>
    <d v="2022-03-03T00:00:00"/>
    <x v="2"/>
    <s v="LED TV's"/>
    <s v="Chirala"/>
    <n v="1250"/>
    <n v="14"/>
    <n v="17500"/>
  </r>
  <r>
    <d v="2022-03-07T00:00:00"/>
    <x v="3"/>
    <s v="Mobiles"/>
    <s v="Guntur"/>
    <n v="120"/>
    <n v="41"/>
    <n v="4920"/>
  </r>
  <r>
    <d v="2022-03-11T00:00:00"/>
    <x v="1"/>
    <s v="Furniture"/>
    <s v="Tenali"/>
    <n v="1450"/>
    <n v="22"/>
    <n v="31900"/>
  </r>
  <r>
    <d v="2022-03-15T00:00:00"/>
    <x v="1"/>
    <s v="Laptops"/>
    <s v="Guntur"/>
    <n v="89999"/>
    <n v="15"/>
    <n v="1349985"/>
  </r>
  <r>
    <d v="2022-03-19T00:00:00"/>
    <x v="5"/>
    <s v="Speakers"/>
    <s v="Bapatla"/>
    <n v="1999"/>
    <n v="48"/>
    <n v="95952"/>
  </r>
  <r>
    <d v="2022-03-23T00:00:00"/>
    <x v="5"/>
    <s v="4K LED TV's"/>
    <s v="Tenali"/>
    <n v="2900"/>
    <n v="49"/>
    <n v="142100"/>
  </r>
  <r>
    <d v="2022-03-27T00:00:00"/>
    <x v="4"/>
    <s v="Laptops"/>
    <s v="Chirala"/>
    <n v="700"/>
    <n v="50"/>
    <n v="35000"/>
  </r>
  <r>
    <d v="2022-03-31T00:00:00"/>
    <x v="3"/>
    <s v="Mobiles"/>
    <s v="Tenali"/>
    <n v="200"/>
    <n v="41"/>
    <n v="8200"/>
  </r>
  <r>
    <d v="2022-04-04T00:00:00"/>
    <x v="0"/>
    <s v="Furniture"/>
    <s v="Bapatla"/>
    <n v="499"/>
    <n v="29"/>
    <n v="14471"/>
  </r>
  <r>
    <d v="2022-04-08T00:00:00"/>
    <x v="2"/>
    <s v="Furniture"/>
    <s v="Ongole"/>
    <n v="5599"/>
    <n v="36"/>
    <n v="201564"/>
  </r>
  <r>
    <d v="2022-04-12T00:00:00"/>
    <x v="1"/>
    <s v="Mobiles"/>
    <s v="Tenali"/>
    <n v="100"/>
    <n v="39"/>
    <n v="3900"/>
  </r>
  <r>
    <d v="2022-04-16T00:00:00"/>
    <x v="4"/>
    <s v="4K LED TV's"/>
    <s v="Tenali"/>
    <n v="79999"/>
    <n v="9"/>
    <n v="719991"/>
  </r>
  <r>
    <d v="2022-04-20T00:00:00"/>
    <x v="2"/>
    <s v="Laptops"/>
    <s v="Bapatla"/>
    <n v="700"/>
    <n v="38"/>
    <n v="26600"/>
  </r>
  <r>
    <d v="2022-04-24T00:00:00"/>
    <x v="4"/>
    <s v="LED TV's"/>
    <s v="Guntur"/>
    <n v="550"/>
    <n v="25"/>
    <n v="13750"/>
  </r>
  <r>
    <d v="2022-04-28T00:00:00"/>
    <x v="5"/>
    <s v="Speakers"/>
    <s v="Tenali"/>
    <n v="1499"/>
    <n v="16"/>
    <n v="23984"/>
  </r>
  <r>
    <d v="2022-05-02T00:00:00"/>
    <x v="3"/>
    <s v="Mobiles"/>
    <s v="Chirala"/>
    <n v="120"/>
    <n v="22"/>
    <n v="2640"/>
  </r>
  <r>
    <d v="2022-05-06T00:00:00"/>
    <x v="0"/>
    <s v="Furniture"/>
    <s v="Vijayawada"/>
    <n v="1450"/>
    <n v="20"/>
    <n v="29000"/>
  </r>
  <r>
    <d v="2022-05-10T00:00:00"/>
    <x v="5"/>
    <s v="4K LED TV's"/>
    <s v="Bapatla"/>
    <n v="1999"/>
    <n v="23"/>
    <n v="45977"/>
  </r>
  <r>
    <d v="2022-05-14T00:00:00"/>
    <x v="0"/>
    <s v="Furniture"/>
    <s v="Tenali"/>
    <n v="800"/>
    <n v="43"/>
    <n v="34400"/>
  </r>
  <r>
    <d v="2022-05-18T00:00:00"/>
    <x v="2"/>
    <s v="Mobiles"/>
    <s v="Chirala"/>
    <n v="100"/>
    <n v="41"/>
    <n v="4100"/>
  </r>
  <r>
    <d v="2022-05-22T00:00:00"/>
    <x v="0"/>
    <s v="Furniture"/>
    <s v="Bapatla"/>
    <n v="13999"/>
    <n v="37"/>
    <n v="517963"/>
  </r>
  <r>
    <d v="2022-05-26T00:00:00"/>
    <x v="4"/>
    <s v="Laptops"/>
    <s v="Tenali"/>
    <n v="22000"/>
    <n v="45"/>
    <n v="990000"/>
  </r>
  <r>
    <d v="2022-05-30T00:00:00"/>
    <x v="4"/>
    <s v="Laptops"/>
    <s v="Ongole"/>
    <n v="89999"/>
    <n v="15"/>
    <n v="1349985"/>
  </r>
  <r>
    <d v="2022-06-03T00:00:00"/>
    <x v="1"/>
    <s v="4K LED TV's"/>
    <s v="Tenali"/>
    <n v="13999"/>
    <n v="22"/>
    <n v="307978"/>
  </r>
  <r>
    <d v="2022-06-07T00:00:00"/>
    <x v="2"/>
    <s v="Speakers"/>
    <s v="Bapatla"/>
    <n v="2900"/>
    <n v="20"/>
    <n v="58000"/>
  </r>
  <r>
    <d v="2022-06-11T00:00:00"/>
    <x v="1"/>
    <s v="Laptops"/>
    <s v="Tenali"/>
    <n v="33000"/>
    <n v="16"/>
    <n v="528000"/>
  </r>
  <r>
    <d v="2022-06-15T00:00:00"/>
    <x v="4"/>
    <s v="4K LED TV's"/>
    <s v="Vijayawada"/>
    <n v="22000"/>
    <n v="17"/>
    <n v="374000"/>
  </r>
  <r>
    <d v="2022-06-19T00:00:00"/>
    <x v="5"/>
    <s v="Speakers"/>
    <s v="Vijayawada"/>
    <n v="699"/>
    <n v="50"/>
    <n v="34950"/>
  </r>
  <r>
    <d v="2022-06-23T00:00:00"/>
    <x v="2"/>
    <s v="Laptops"/>
    <s v="Bapatla"/>
    <n v="499"/>
    <n v="4"/>
    <n v="1996"/>
  </r>
  <r>
    <d v="2022-06-27T00:00:00"/>
    <x v="5"/>
    <s v="Speakers"/>
    <s v="Tenali"/>
    <n v="590"/>
    <n v="43"/>
    <n v="25370"/>
  </r>
  <r>
    <d v="2022-07-01T00:00:00"/>
    <x v="5"/>
    <s v="Speakers"/>
    <s v="Vijayawada"/>
    <n v="590"/>
    <n v="42"/>
    <n v="24780"/>
  </r>
  <r>
    <d v="2022-07-05T00:00:00"/>
    <x v="3"/>
    <s v="Mobiles"/>
    <s v="Guntur"/>
    <n v="120"/>
    <n v="9"/>
    <n v="1080"/>
  </r>
  <r>
    <d v="2022-07-09T00:00:00"/>
    <x v="2"/>
    <s v="Laptops"/>
    <s v="Ongole"/>
    <n v="52000"/>
    <n v="40"/>
    <n v="2080000"/>
  </r>
  <r>
    <d v="2022-07-13T00:00:00"/>
    <x v="4"/>
    <s v="4K LED TV's"/>
    <s v="Tenali"/>
    <n v="7999"/>
    <n v="14"/>
    <n v="111986"/>
  </r>
  <r>
    <d v="2022-07-17T00:00:00"/>
    <x v="2"/>
    <s v="LED TV's"/>
    <s v="Chirala"/>
    <n v="550"/>
    <n v="9"/>
    <n v="4950"/>
  </r>
  <r>
    <d v="2022-07-21T00:00:00"/>
    <x v="4"/>
    <s v="Laptops"/>
    <s v="Tenali"/>
    <n v="79999"/>
    <n v="10"/>
    <n v="799990"/>
  </r>
  <r>
    <d v="2022-07-25T00:00:00"/>
    <x v="1"/>
    <s v="4K LED TV's"/>
    <s v="Vijayawada"/>
    <n v="1999"/>
    <n v="37"/>
    <n v="73963"/>
  </r>
  <r>
    <d v="2022-07-29T00:00:00"/>
    <x v="2"/>
    <s v="Laptops"/>
    <s v="Tenali"/>
    <n v="89999"/>
    <n v="29"/>
    <n v="2609971"/>
  </r>
  <r>
    <d v="2022-08-02T00:00:00"/>
    <x v="4"/>
    <s v="Laptops"/>
    <s v="Guntur"/>
    <n v="799"/>
    <n v="44"/>
    <n v="35156"/>
  </r>
  <r>
    <d v="2022-08-06T00:00:00"/>
    <x v="4"/>
    <s v="Laptops"/>
    <s v="Ongole"/>
    <n v="3990"/>
    <n v="31"/>
    <n v="123690"/>
  </r>
  <r>
    <d v="2022-08-10T00:00:00"/>
    <x v="2"/>
    <s v="4K LED TV's"/>
    <s v="Bapatla"/>
    <n v="52000"/>
    <n v="29"/>
    <n v="1508000"/>
  </r>
  <r>
    <d v="2022-08-14T00:00:00"/>
    <x v="0"/>
    <s v="Furniture"/>
    <s v="Tenali"/>
    <n v="13999"/>
    <n v="34"/>
    <n v="475966"/>
  </r>
  <r>
    <d v="2022-08-18T00:00:00"/>
    <x v="2"/>
    <s v="Mobiles"/>
    <s v="Bapatla"/>
    <n v="120"/>
    <n v="29"/>
    <n v="3480"/>
  </r>
  <r>
    <d v="2022-08-22T00:00:00"/>
    <x v="4"/>
    <s v="LED TV's"/>
    <s v="Guntur"/>
    <n v="23999"/>
    <n v="25"/>
    <n v="599975"/>
  </r>
  <r>
    <d v="2022-08-26T00:00:00"/>
    <x v="2"/>
    <s v="LED TV's"/>
    <s v="Tenali"/>
    <n v="1250"/>
    <n v="31"/>
    <n v="38750"/>
  </r>
  <r>
    <d v="2022-08-30T00:00:00"/>
    <x v="5"/>
    <s v="4K LED TV's"/>
    <s v="Tenali"/>
    <n v="45000"/>
    <n v="16"/>
    <n v="720000"/>
  </r>
  <r>
    <d v="2022-09-03T00:00:00"/>
    <x v="1"/>
    <s v="Mobiles"/>
    <s v="Bapatla"/>
    <n v="120"/>
    <n v="48"/>
    <n v="5760"/>
  </r>
  <r>
    <d v="2022-09-07T00:00:00"/>
    <x v="2"/>
    <s v="4K LED TV's"/>
    <s v="Chirala"/>
    <n v="25600"/>
    <n v="22"/>
    <n v="563200"/>
  </r>
  <r>
    <d v="2022-09-11T00:00:00"/>
    <x v="5"/>
    <s v="Speakers"/>
    <s v="Tenali"/>
    <n v="699"/>
    <n v="6"/>
    <n v="4194"/>
  </r>
  <r>
    <d v="2022-09-15T00:00:00"/>
    <x v="5"/>
    <s v="4K LED TV's"/>
    <s v="Bapatla"/>
    <n v="99620"/>
    <n v="12"/>
    <n v="1195440"/>
  </r>
  <r>
    <d v="2022-09-19T00:00:00"/>
    <x v="2"/>
    <s v="Speakers"/>
    <s v="Ongole"/>
    <n v="450"/>
    <n v="44"/>
    <n v="19800"/>
  </r>
  <r>
    <d v="2022-09-23T00:00:00"/>
    <x v="5"/>
    <s v="Speakers"/>
    <s v="Bapatla"/>
    <n v="1499"/>
    <n v="15"/>
    <n v="22485"/>
  </r>
  <r>
    <d v="2022-09-27T00:00:00"/>
    <x v="0"/>
    <s v="4K LED TV's"/>
    <s v="Chirala"/>
    <n v="49500"/>
    <n v="26"/>
    <n v="1287000"/>
  </r>
  <r>
    <d v="2022-10-01T00:00:00"/>
    <x v="1"/>
    <s v="LED TV's"/>
    <s v="Chirala"/>
    <n v="960"/>
    <n v="16"/>
    <n v="15360"/>
  </r>
  <r>
    <d v="2022-10-05T00:00:00"/>
    <x v="2"/>
    <s v="Furniture"/>
    <s v="Tenali"/>
    <n v="5599"/>
    <n v="35"/>
    <n v="195965"/>
  </r>
  <r>
    <d v="2022-10-09T00:00:00"/>
    <x v="3"/>
    <s v="Mobiles"/>
    <s v="Guntur"/>
    <n v="89"/>
    <n v="36"/>
    <n v="3204"/>
  </r>
  <r>
    <d v="2022-10-13T00:00:00"/>
    <x v="0"/>
    <s v="Furniture"/>
    <s v="Ongole"/>
    <n v="2550"/>
    <n v="20"/>
    <n v="51000"/>
  </r>
  <r>
    <d v="2022-10-17T00:00:00"/>
    <x v="2"/>
    <s v="4K LED TV's"/>
    <s v="Guntur"/>
    <n v="14500"/>
    <n v="47"/>
    <n v="681500"/>
  </r>
  <r>
    <d v="2022-10-21T00:00:00"/>
    <x v="5"/>
    <s v="Speakers"/>
    <s v="Tenali"/>
    <n v="2900"/>
    <n v="6"/>
    <n v="17400"/>
  </r>
  <r>
    <d v="2022-10-25T00:00:00"/>
    <x v="3"/>
    <s v="Mobiles"/>
    <s v="Chirala"/>
    <n v="120"/>
    <n v="6"/>
    <n v="720"/>
  </r>
  <r>
    <d v="2022-10-29T00:00:00"/>
    <x v="4"/>
    <s v="4K LED TV's"/>
    <s v="Bapatla"/>
    <n v="52000"/>
    <n v="41"/>
    <n v="2132000"/>
  </r>
  <r>
    <d v="2022-11-02T00:00:00"/>
    <x v="1"/>
    <s v="Speakers"/>
    <s v="Vijayawada"/>
    <n v="590"/>
    <n v="29"/>
    <n v="17110"/>
  </r>
  <r>
    <d v="2022-11-06T00:00:00"/>
    <x v="4"/>
    <s v="LED TV's"/>
    <s v="Chirala"/>
    <n v="7999"/>
    <n v="31"/>
    <n v="247969"/>
  </r>
  <r>
    <d v="2022-11-10T00:00:00"/>
    <x v="2"/>
    <s v="Mobiles"/>
    <s v="Vijayawada"/>
    <n v="999"/>
    <n v="34"/>
    <n v="33966"/>
  </r>
  <r>
    <d v="2022-11-14T00:00:00"/>
    <x v="5"/>
    <s v="4K LED TV's"/>
    <s v="Bapatla"/>
    <n v="990"/>
    <n v="43"/>
    <n v="42570"/>
  </r>
  <r>
    <d v="2022-11-18T00:00:00"/>
    <x v="2"/>
    <s v="Laptops"/>
    <s v="Guntur"/>
    <n v="11999"/>
    <n v="37"/>
    <n v="443963"/>
  </r>
  <r>
    <d v="2022-11-22T00:00:00"/>
    <x v="1"/>
    <s v="LED TV's"/>
    <s v="Guntur"/>
    <n v="960"/>
    <n v="7"/>
    <n v="6720"/>
  </r>
  <r>
    <d v="2022-11-26T00:00:00"/>
    <x v="0"/>
    <s v="Furniture"/>
    <s v="Bapatla"/>
    <n v="1450"/>
    <n v="19"/>
    <n v="27550"/>
  </r>
  <r>
    <d v="2022-11-30T00:00:00"/>
    <x v="5"/>
    <s v="Speakers"/>
    <s v="Vijayawada"/>
    <n v="450"/>
    <n v="47"/>
    <n v="21150"/>
  </r>
  <r>
    <d v="2022-12-04T00:00:00"/>
    <x v="2"/>
    <s v="4K LED TV's"/>
    <s v="Vijayawada"/>
    <n v="1499"/>
    <n v="37"/>
    <n v="55463"/>
  </r>
  <r>
    <d v="2022-12-08T00:00:00"/>
    <x v="4"/>
    <s v="Laptops"/>
    <s v="Vijayawada"/>
    <n v="79999"/>
    <n v="4"/>
    <n v="319996"/>
  </r>
  <r>
    <d v="2022-12-12T00:00:00"/>
    <x v="2"/>
    <s v="Mobiles"/>
    <s v="Chirala"/>
    <n v="999"/>
    <n v="45"/>
    <n v="44955"/>
  </r>
  <r>
    <d v="2022-12-16T00:00:00"/>
    <x v="4"/>
    <s v="Laptops"/>
    <s v="Guntur"/>
    <n v="52000"/>
    <n v="15"/>
    <n v="780000"/>
  </r>
  <r>
    <d v="2022-12-20T00:00:00"/>
    <x v="1"/>
    <s v="Laptops"/>
    <s v="Tenali"/>
    <n v="52000"/>
    <n v="39"/>
    <n v="2028000"/>
  </r>
  <r>
    <d v="2022-12-24T00:00:00"/>
    <x v="2"/>
    <s v="LED TV's"/>
    <s v="Tenali"/>
    <n v="960"/>
    <n v="33"/>
    <n v="31680"/>
  </r>
  <r>
    <d v="2022-12-28T00:00:00"/>
    <x v="4"/>
    <s v="LED TV's"/>
    <s v="Bapatla"/>
    <n v="1450"/>
    <n v="34"/>
    <n v="49300"/>
  </r>
  <r>
    <d v="2022-12-18T00:00:00"/>
    <x v="5"/>
    <s v="Speakers"/>
    <s v="Ongole"/>
    <n v="2500"/>
    <n v="100"/>
    <n v="250000"/>
  </r>
  <r>
    <d v="2022-12-22T00:00:00"/>
    <x v="1"/>
    <s v="4K LED TV's"/>
    <s v="Ongole"/>
    <n v="86540"/>
    <n v="6"/>
    <n v="519240"/>
  </r>
  <r>
    <d v="2022-12-27T00:00:00"/>
    <x v="3"/>
    <s v="Mobiles"/>
    <s v="Ongole"/>
    <n v="550"/>
    <n v="44"/>
    <n v="24200"/>
  </r>
  <r>
    <d v="2022-12-30T00:00:00"/>
    <x v="2"/>
    <s v="Laptops"/>
    <s v="Ongole"/>
    <n v="65400"/>
    <n v="19"/>
    <n v="12426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8">
  <r>
    <x v="0"/>
    <x v="0"/>
    <s v="Furniture"/>
    <x v="0"/>
    <n v="499"/>
    <n v="50"/>
    <n v="24950"/>
    <n v="24950"/>
    <n v="2020"/>
    <s v="Jan"/>
    <n v="1"/>
    <s v="Wed"/>
  </r>
  <r>
    <x v="1"/>
    <x v="1"/>
    <s v="Furniture"/>
    <x v="1"/>
    <n v="5599"/>
    <n v="33"/>
    <n v="184767"/>
    <n v="184767"/>
    <n v="2020"/>
    <s v="Jan"/>
    <n v="5"/>
    <s v="Sun"/>
  </r>
  <r>
    <x v="2"/>
    <x v="2"/>
    <s v="LED TV's"/>
    <x v="2"/>
    <n v="1450"/>
    <n v="44"/>
    <n v="63800"/>
    <n v="63800"/>
    <n v="2020"/>
    <s v="Jan"/>
    <n v="9"/>
    <s v="Thu"/>
  </r>
  <r>
    <x v="3"/>
    <x v="3"/>
    <s v="4K LED TV's"/>
    <x v="0"/>
    <n v="85000"/>
    <n v="50"/>
    <n v="4250000"/>
    <n v="4250000"/>
    <n v="2020"/>
    <s v="Jan"/>
    <n v="13"/>
    <s v="Mon"/>
  </r>
  <r>
    <x v="4"/>
    <x v="3"/>
    <s v="Mobiles"/>
    <x v="3"/>
    <n v="15000"/>
    <n v="11"/>
    <n v="165000"/>
    <n v="165000"/>
    <n v="2020"/>
    <s v="Jan"/>
    <n v="17"/>
    <s v="Fri"/>
  </r>
  <r>
    <x v="5"/>
    <x v="1"/>
    <s v="Furniture"/>
    <x v="3"/>
    <n v="2550"/>
    <n v="48"/>
    <n v="122400"/>
    <n v="122400"/>
    <n v="2020"/>
    <s v="Jan"/>
    <n v="21"/>
    <s v="Tue"/>
  </r>
  <r>
    <x v="6"/>
    <x v="4"/>
    <s v="Laptops"/>
    <x v="2"/>
    <n v="33000"/>
    <n v="26"/>
    <n v="858000"/>
    <n v="858000"/>
    <n v="2020"/>
    <s v="Jan"/>
    <n v="25"/>
    <s v="Sat"/>
  </r>
  <r>
    <x v="7"/>
    <x v="0"/>
    <s v="4K LED TV's"/>
    <x v="4"/>
    <n v="86000"/>
    <n v="39"/>
    <n v="3354000"/>
    <n v="3354000"/>
    <n v="2020"/>
    <s v="Jan"/>
    <n v="29"/>
    <s v="Wed"/>
  </r>
  <r>
    <x v="8"/>
    <x v="2"/>
    <s v="Speakers"/>
    <x v="3"/>
    <n v="990"/>
    <n v="9"/>
    <n v="8910"/>
    <n v="8910"/>
    <n v="2020"/>
    <s v="Feb"/>
    <n v="2"/>
    <s v="Sun"/>
  </r>
  <r>
    <x v="9"/>
    <x v="0"/>
    <s v="Furniture"/>
    <x v="0"/>
    <n v="5599"/>
    <n v="41"/>
    <n v="229559"/>
    <n v="229559"/>
    <n v="2020"/>
    <s v="Feb"/>
    <n v="6"/>
    <s v="Thu"/>
  </r>
  <r>
    <x v="10"/>
    <x v="4"/>
    <s v="Laptops"/>
    <x v="2"/>
    <n v="499"/>
    <n v="39"/>
    <n v="19461"/>
    <n v="19461"/>
    <n v="2020"/>
    <s v="Feb"/>
    <n v="10"/>
    <s v="Mon"/>
  </r>
  <r>
    <x v="11"/>
    <x v="1"/>
    <s v="Speakers"/>
    <x v="0"/>
    <n v="1999"/>
    <n v="4"/>
    <n v="7996"/>
    <n v="7996"/>
    <n v="2020"/>
    <s v="Feb"/>
    <n v="14"/>
    <s v="Fri"/>
  </r>
  <r>
    <x v="12"/>
    <x v="3"/>
    <s v="4K LED TV's"/>
    <x v="0"/>
    <n v="63400"/>
    <n v="8"/>
    <n v="507200"/>
    <n v="507200"/>
    <n v="2020"/>
    <s v="Feb"/>
    <n v="18"/>
    <s v="Tue"/>
  </r>
  <r>
    <x v="13"/>
    <x v="5"/>
    <s v="Speakers"/>
    <x v="3"/>
    <n v="1499"/>
    <n v="27"/>
    <n v="40473"/>
    <n v="40473"/>
    <n v="2020"/>
    <s v="Feb"/>
    <n v="22"/>
    <s v="Sat"/>
  </r>
  <r>
    <x v="14"/>
    <x v="3"/>
    <s v="Mobiles"/>
    <x v="2"/>
    <n v="120"/>
    <n v="10"/>
    <n v="1200"/>
    <n v="1200"/>
    <n v="2020"/>
    <s v="Feb"/>
    <n v="26"/>
    <s v="Wed"/>
  </r>
  <r>
    <x v="15"/>
    <x v="1"/>
    <s v="Laptops"/>
    <x v="4"/>
    <n v="11999"/>
    <n v="17"/>
    <n v="203983"/>
    <n v="203983"/>
    <n v="2020"/>
    <s v="Mar"/>
    <n v="1"/>
    <s v="Sun"/>
  </r>
  <r>
    <x v="16"/>
    <x v="2"/>
    <s v="4K LED TV's"/>
    <x v="1"/>
    <n v="47500"/>
    <n v="27"/>
    <n v="1282500"/>
    <n v="1282500"/>
    <n v="2020"/>
    <s v="Mar"/>
    <n v="5"/>
    <s v="Thu"/>
  </r>
  <r>
    <x v="17"/>
    <x v="4"/>
    <s v="Laptops"/>
    <x v="1"/>
    <n v="2999"/>
    <n v="43"/>
    <n v="128957"/>
    <n v="128957"/>
    <n v="2020"/>
    <s v="Mar"/>
    <n v="9"/>
    <s v="Mon"/>
  </r>
  <r>
    <x v="18"/>
    <x v="3"/>
    <s v="Mobiles"/>
    <x v="1"/>
    <n v="8900"/>
    <n v="9"/>
    <n v="80100"/>
    <n v="80100"/>
    <n v="2020"/>
    <s v="Mar"/>
    <n v="13"/>
    <s v="Fri"/>
  </r>
  <r>
    <x v="19"/>
    <x v="1"/>
    <s v="Laptops"/>
    <x v="0"/>
    <n v="22000"/>
    <n v="42"/>
    <n v="924000"/>
    <n v="924000"/>
    <n v="2020"/>
    <s v="Mar"/>
    <n v="17"/>
    <s v="Tue"/>
  </r>
  <r>
    <x v="20"/>
    <x v="2"/>
    <s v="LED TV's"/>
    <x v="1"/>
    <n v="1250"/>
    <n v="6"/>
    <n v="7500"/>
    <n v="7500"/>
    <n v="2020"/>
    <s v="Mar"/>
    <n v="21"/>
    <s v="Sat"/>
  </r>
  <r>
    <x v="21"/>
    <x v="3"/>
    <s v="Mobiles"/>
    <x v="3"/>
    <n v="999"/>
    <n v="28"/>
    <n v="27972"/>
    <n v="27972"/>
    <n v="2020"/>
    <s v="Mar"/>
    <n v="25"/>
    <s v="Wed"/>
  </r>
  <r>
    <x v="22"/>
    <x v="4"/>
    <s v="LED TV's"/>
    <x v="4"/>
    <n v="1450"/>
    <n v="13"/>
    <n v="18850"/>
    <n v="18850"/>
    <n v="2020"/>
    <s v="Mar"/>
    <n v="29"/>
    <s v="Sun"/>
  </r>
  <r>
    <x v="23"/>
    <x v="4"/>
    <s v="LED TV's"/>
    <x v="2"/>
    <n v="23999"/>
    <n v="8"/>
    <n v="191992"/>
    <n v="191992"/>
    <n v="2020"/>
    <s v="Apr"/>
    <n v="2"/>
    <s v="Thu"/>
  </r>
  <r>
    <x v="24"/>
    <x v="1"/>
    <s v="4K LED TV's"/>
    <x v="4"/>
    <n v="65200"/>
    <n v="7"/>
    <n v="456400"/>
    <n v="456400"/>
    <n v="2020"/>
    <s v="Apr"/>
    <n v="6"/>
    <s v="Mon"/>
  </r>
  <r>
    <x v="25"/>
    <x v="1"/>
    <s v="Speakers"/>
    <x v="1"/>
    <n v="699"/>
    <n v="45"/>
    <n v="31455"/>
    <n v="31455"/>
    <n v="2020"/>
    <s v="Apr"/>
    <n v="10"/>
    <s v="Fri"/>
  </r>
  <r>
    <x v="26"/>
    <x v="0"/>
    <s v="Furniture"/>
    <x v="0"/>
    <n v="2550"/>
    <n v="22"/>
    <n v="56100"/>
    <n v="56100"/>
    <n v="2020"/>
    <s v="Apr"/>
    <n v="14"/>
    <s v="Tue"/>
  </r>
  <r>
    <x v="27"/>
    <x v="2"/>
    <s v="Laptops"/>
    <x v="4"/>
    <n v="22000"/>
    <n v="4"/>
    <n v="88000"/>
    <n v="88000"/>
    <n v="2020"/>
    <s v="Apr"/>
    <n v="18"/>
    <s v="Sat"/>
  </r>
  <r>
    <x v="28"/>
    <x v="4"/>
    <s v="4K LED TV's"/>
    <x v="0"/>
    <n v="22000"/>
    <n v="10"/>
    <n v="220000"/>
    <n v="220000"/>
    <n v="2020"/>
    <s v="Apr"/>
    <n v="22"/>
    <s v="Wed"/>
  </r>
  <r>
    <x v="29"/>
    <x v="5"/>
    <s v="Speakers"/>
    <x v="3"/>
    <n v="1499"/>
    <n v="16"/>
    <n v="23984"/>
    <n v="23984"/>
    <n v="2020"/>
    <s v="Apr"/>
    <n v="26"/>
    <s v="Sun"/>
  </r>
  <r>
    <x v="30"/>
    <x v="1"/>
    <s v="Mobiles"/>
    <x v="4"/>
    <n v="120"/>
    <n v="22"/>
    <n v="2640"/>
    <n v="2640"/>
    <n v="2020"/>
    <s v="Apr"/>
    <n v="30"/>
    <s v="Thu"/>
  </r>
  <r>
    <x v="31"/>
    <x v="0"/>
    <s v="Furniture"/>
    <x v="2"/>
    <n v="1450"/>
    <n v="20"/>
    <n v="29000"/>
    <n v="29000"/>
    <n v="2020"/>
    <s v="May"/>
    <n v="4"/>
    <s v="Mon"/>
  </r>
  <r>
    <x v="32"/>
    <x v="5"/>
    <s v="Speakers"/>
    <x v="3"/>
    <n v="1999"/>
    <n v="23"/>
    <n v="45977"/>
    <n v="45977"/>
    <n v="2020"/>
    <s v="May"/>
    <n v="8"/>
    <s v="Fri"/>
  </r>
  <r>
    <x v="33"/>
    <x v="1"/>
    <s v="Furniture"/>
    <x v="0"/>
    <n v="800"/>
    <n v="43"/>
    <n v="34400"/>
    <n v="34400"/>
    <n v="2020"/>
    <s v="May"/>
    <n v="12"/>
    <s v="Tue"/>
  </r>
  <r>
    <x v="34"/>
    <x v="2"/>
    <s v="Mobiles"/>
    <x v="3"/>
    <n v="18000"/>
    <n v="41"/>
    <n v="738000"/>
    <n v="738000"/>
    <n v="2020"/>
    <s v="May"/>
    <n v="16"/>
    <s v="Sat"/>
  </r>
  <r>
    <x v="35"/>
    <x v="0"/>
    <s v="Furniture"/>
    <x v="1"/>
    <n v="13999"/>
    <n v="37"/>
    <n v="517963"/>
    <n v="517963"/>
    <n v="2020"/>
    <s v="May"/>
    <n v="20"/>
    <s v="Wed"/>
  </r>
  <r>
    <x v="36"/>
    <x v="1"/>
    <s v="Laptops"/>
    <x v="3"/>
    <n v="22000"/>
    <n v="45"/>
    <n v="990000"/>
    <n v="990000"/>
    <n v="2020"/>
    <s v="May"/>
    <n v="24"/>
    <s v="Sun"/>
  </r>
  <r>
    <x v="37"/>
    <x v="4"/>
    <s v="4K LED TV's"/>
    <x v="0"/>
    <n v="89999"/>
    <n v="15"/>
    <n v="1349985"/>
    <n v="1349985"/>
    <n v="2020"/>
    <s v="May"/>
    <n v="28"/>
    <s v="Thu"/>
  </r>
  <r>
    <x v="38"/>
    <x v="0"/>
    <s v="Furniture"/>
    <x v="2"/>
    <n v="13999"/>
    <n v="22"/>
    <n v="307978"/>
    <n v="307978"/>
    <n v="2020"/>
    <s v="Jun"/>
    <n v="1"/>
    <s v="Mon"/>
  </r>
  <r>
    <x v="39"/>
    <x v="2"/>
    <s v="Speakers"/>
    <x v="1"/>
    <n v="2900"/>
    <n v="20"/>
    <n v="58000"/>
    <n v="58000"/>
    <n v="2020"/>
    <s v="Jun"/>
    <n v="5"/>
    <s v="Fri"/>
  </r>
  <r>
    <x v="40"/>
    <x v="1"/>
    <s v="Laptops"/>
    <x v="3"/>
    <n v="33000"/>
    <n v="16"/>
    <n v="528000"/>
    <n v="528000"/>
    <n v="2020"/>
    <s v="Jun"/>
    <n v="9"/>
    <s v="Tue"/>
  </r>
  <r>
    <x v="41"/>
    <x v="2"/>
    <s v="Laptops"/>
    <x v="1"/>
    <n v="22000"/>
    <n v="17"/>
    <n v="374000"/>
    <n v="374000"/>
    <n v="2020"/>
    <s v="Jun"/>
    <n v="13"/>
    <s v="Sat"/>
  </r>
  <r>
    <x v="42"/>
    <x v="5"/>
    <s v="Speakers"/>
    <x v="1"/>
    <n v="699"/>
    <n v="50"/>
    <n v="34950"/>
    <n v="34950"/>
    <n v="2020"/>
    <s v="Jun"/>
    <n v="17"/>
    <s v="Wed"/>
  </r>
  <r>
    <x v="43"/>
    <x v="4"/>
    <s v="Laptops"/>
    <x v="2"/>
    <n v="499"/>
    <n v="4"/>
    <n v="1996"/>
    <n v="1996"/>
    <n v="2020"/>
    <s v="Jun"/>
    <n v="21"/>
    <s v="Sun"/>
  </r>
  <r>
    <x v="44"/>
    <x v="1"/>
    <s v="Speakers"/>
    <x v="3"/>
    <n v="590"/>
    <n v="43"/>
    <n v="25370"/>
    <n v="25370"/>
    <n v="2020"/>
    <s v="Jun"/>
    <n v="25"/>
    <s v="Thu"/>
  </r>
  <r>
    <x v="45"/>
    <x v="5"/>
    <s v="Speakers"/>
    <x v="1"/>
    <n v="590"/>
    <n v="42"/>
    <n v="24780"/>
    <n v="24780"/>
    <n v="2020"/>
    <s v="Jun"/>
    <n v="29"/>
    <s v="Mon"/>
  </r>
  <r>
    <x v="46"/>
    <x v="1"/>
    <s v="4K LED TV's"/>
    <x v="0"/>
    <n v="120"/>
    <n v="9"/>
    <n v="1080"/>
    <n v="1080"/>
    <n v="2020"/>
    <s v="Jul"/>
    <n v="3"/>
    <s v="Fri"/>
  </r>
  <r>
    <x v="47"/>
    <x v="4"/>
    <s v="Laptops"/>
    <x v="4"/>
    <n v="52000"/>
    <n v="40"/>
    <n v="2080000"/>
    <n v="2080000"/>
    <n v="2020"/>
    <s v="Jul"/>
    <n v="7"/>
    <s v="Tue"/>
  </r>
  <r>
    <x v="48"/>
    <x v="2"/>
    <s v="LED TV's"/>
    <x v="3"/>
    <n v="7999"/>
    <n v="14"/>
    <n v="111986"/>
    <n v="111986"/>
    <n v="2020"/>
    <s v="Jul"/>
    <n v="11"/>
    <s v="Sat"/>
  </r>
  <r>
    <x v="49"/>
    <x v="1"/>
    <s v="LED TV's"/>
    <x v="4"/>
    <n v="550"/>
    <n v="9"/>
    <n v="4950"/>
    <n v="4950"/>
    <n v="2020"/>
    <s v="Jul"/>
    <n v="15"/>
    <s v="Wed"/>
  </r>
  <r>
    <x v="50"/>
    <x v="2"/>
    <s v="4K LED TV's"/>
    <x v="3"/>
    <n v="79999"/>
    <n v="10"/>
    <n v="799990"/>
    <n v="799990"/>
    <n v="2020"/>
    <s v="Jul"/>
    <n v="19"/>
    <s v="Sun"/>
  </r>
  <r>
    <x v="51"/>
    <x v="5"/>
    <s v="Speakers"/>
    <x v="3"/>
    <n v="1999"/>
    <n v="37"/>
    <n v="73963"/>
    <n v="73963"/>
    <n v="2020"/>
    <s v="Jul"/>
    <n v="23"/>
    <s v="Thu"/>
  </r>
  <r>
    <x v="52"/>
    <x v="4"/>
    <s v="Laptops"/>
    <x v="2"/>
    <n v="89999"/>
    <n v="29"/>
    <n v="2609971"/>
    <n v="2609971"/>
    <n v="2020"/>
    <s v="Jul"/>
    <n v="27"/>
    <s v="Mon"/>
  </r>
  <r>
    <x v="53"/>
    <x v="1"/>
    <s v="4K LED TV's"/>
    <x v="3"/>
    <n v="78500"/>
    <n v="44"/>
    <n v="3454000"/>
    <n v="3454000"/>
    <n v="2020"/>
    <s v="Jul"/>
    <n v="31"/>
    <s v="Fri"/>
  </r>
  <r>
    <x v="54"/>
    <x v="4"/>
    <s v="Laptops"/>
    <x v="1"/>
    <n v="3990"/>
    <n v="31"/>
    <n v="123690"/>
    <n v="123690"/>
    <n v="2020"/>
    <s v="Aug"/>
    <n v="4"/>
    <s v="Tue"/>
  </r>
  <r>
    <x v="55"/>
    <x v="2"/>
    <s v="Laptops"/>
    <x v="3"/>
    <n v="52000"/>
    <n v="29"/>
    <n v="1508000"/>
    <n v="1508000"/>
    <n v="2020"/>
    <s v="Aug"/>
    <n v="8"/>
    <s v="Sat"/>
  </r>
  <r>
    <x v="56"/>
    <x v="0"/>
    <s v="4K LED TV's"/>
    <x v="3"/>
    <n v="13999"/>
    <n v="34"/>
    <n v="475966"/>
    <n v="475966"/>
    <n v="2020"/>
    <s v="Aug"/>
    <n v="12"/>
    <s v="Wed"/>
  </r>
  <r>
    <x v="57"/>
    <x v="1"/>
    <s v="Mobiles"/>
    <x v="1"/>
    <n v="120"/>
    <n v="29"/>
    <n v="3480"/>
    <n v="3480"/>
    <n v="2020"/>
    <s v="Aug"/>
    <n v="16"/>
    <s v="Sun"/>
  </r>
  <r>
    <x v="58"/>
    <x v="4"/>
    <s v="LED TV's"/>
    <x v="1"/>
    <n v="23999"/>
    <n v="25"/>
    <n v="599975"/>
    <n v="599975"/>
    <n v="2020"/>
    <s v="Aug"/>
    <n v="20"/>
    <s v="Thu"/>
  </r>
  <r>
    <x v="59"/>
    <x v="4"/>
    <s v="4K LED TV's"/>
    <x v="3"/>
    <n v="45000"/>
    <n v="31"/>
    <n v="1395000"/>
    <n v="1395000"/>
    <n v="2020"/>
    <s v="Aug"/>
    <n v="24"/>
    <s v="Mon"/>
  </r>
  <r>
    <x v="60"/>
    <x v="1"/>
    <s v="Speakers"/>
    <x v="1"/>
    <n v="450"/>
    <n v="16"/>
    <n v="7200"/>
    <n v="7200"/>
    <n v="2020"/>
    <s v="Aug"/>
    <n v="28"/>
    <s v="Fri"/>
  </r>
  <r>
    <x v="61"/>
    <x v="3"/>
    <s v="Mobiles"/>
    <x v="3"/>
    <n v="65000"/>
    <n v="48"/>
    <n v="3120000"/>
    <n v="3120000"/>
    <n v="2020"/>
    <s v="Sep"/>
    <n v="1"/>
    <s v="Tue"/>
  </r>
  <r>
    <x v="62"/>
    <x v="2"/>
    <s v="4K LED TV's"/>
    <x v="4"/>
    <n v="35600"/>
    <n v="22"/>
    <n v="783200"/>
    <n v="783200"/>
    <n v="2020"/>
    <s v="Sep"/>
    <n v="5"/>
    <s v="Sat"/>
  </r>
  <r>
    <x v="63"/>
    <x v="5"/>
    <s v="Speakers"/>
    <x v="2"/>
    <n v="699"/>
    <n v="6"/>
    <n v="4194"/>
    <n v="4194"/>
    <n v="2020"/>
    <s v="Sep"/>
    <n v="9"/>
    <s v="Wed"/>
  </r>
  <r>
    <x v="64"/>
    <x v="1"/>
    <s v="Speakers"/>
    <x v="1"/>
    <n v="990"/>
    <n v="12"/>
    <n v="11880"/>
    <n v="11880"/>
    <n v="2020"/>
    <s v="Sep"/>
    <n v="13"/>
    <s v="Sun"/>
  </r>
  <r>
    <x v="65"/>
    <x v="5"/>
    <s v="4K LED TV's"/>
    <x v="0"/>
    <n v="450"/>
    <n v="44"/>
    <n v="19800"/>
    <n v="19800"/>
    <n v="2020"/>
    <s v="Sep"/>
    <n v="17"/>
    <s v="Thu"/>
  </r>
  <r>
    <x v="66"/>
    <x v="5"/>
    <s v="Speakers"/>
    <x v="2"/>
    <n v="1499"/>
    <n v="15"/>
    <n v="22485"/>
    <n v="22485"/>
    <n v="2020"/>
    <s v="Sep"/>
    <n v="21"/>
    <s v="Mon"/>
  </r>
  <r>
    <x v="67"/>
    <x v="0"/>
    <s v="Furniture"/>
    <x v="4"/>
    <n v="499"/>
    <n v="26"/>
    <n v="12974"/>
    <n v="12974"/>
    <n v="2020"/>
    <s v="Sep"/>
    <n v="25"/>
    <s v="Fri"/>
  </r>
  <r>
    <x v="68"/>
    <x v="2"/>
    <s v="4K LED TV's"/>
    <x v="4"/>
    <n v="44000"/>
    <n v="16"/>
    <n v="704000"/>
    <n v="704000"/>
    <n v="2020"/>
    <s v="Sep"/>
    <n v="29"/>
    <s v="Tue"/>
  </r>
  <r>
    <x v="69"/>
    <x v="0"/>
    <s v="Furniture"/>
    <x v="3"/>
    <n v="5599"/>
    <n v="35"/>
    <n v="195965"/>
    <n v="195965"/>
    <n v="2020"/>
    <s v="Oct"/>
    <n v="3"/>
    <s v="Sat"/>
  </r>
  <r>
    <x v="70"/>
    <x v="3"/>
    <s v="4K LED TV's"/>
    <x v="0"/>
    <n v="54100"/>
    <n v="36"/>
    <n v="1947600"/>
    <n v="1947600"/>
    <n v="2020"/>
    <s v="Oct"/>
    <n v="7"/>
    <s v="Wed"/>
  </r>
  <r>
    <x v="71"/>
    <x v="0"/>
    <s v="Furniture"/>
    <x v="2"/>
    <n v="2550"/>
    <n v="20"/>
    <n v="51000"/>
    <n v="51000"/>
    <n v="2020"/>
    <s v="Oct"/>
    <n v="11"/>
    <s v="Sun"/>
  </r>
  <r>
    <x v="72"/>
    <x v="1"/>
    <s v="4K LED TV's"/>
    <x v="2"/>
    <n v="1450"/>
    <n v="47"/>
    <n v="68150"/>
    <n v="68150"/>
    <n v="2020"/>
    <s v="Oct"/>
    <n v="15"/>
    <s v="Thu"/>
  </r>
  <r>
    <x v="73"/>
    <x v="5"/>
    <s v="Speakers"/>
    <x v="3"/>
    <n v="2900"/>
    <n v="6"/>
    <n v="17400"/>
    <n v="17400"/>
    <n v="2020"/>
    <s v="Oct"/>
    <n v="19"/>
    <s v="Mon"/>
  </r>
  <r>
    <x v="74"/>
    <x v="3"/>
    <s v="4K LED TV's"/>
    <x v="4"/>
    <n v="65200"/>
    <n v="6"/>
    <n v="391200"/>
    <n v="391200"/>
    <n v="2020"/>
    <s v="Oct"/>
    <n v="23"/>
    <s v="Fri"/>
  </r>
  <r>
    <x v="75"/>
    <x v="1"/>
    <s v="Laptops"/>
    <x v="4"/>
    <n v="52000"/>
    <n v="41"/>
    <n v="2132000"/>
    <n v="2132000"/>
    <n v="2020"/>
    <s v="Oct"/>
    <n v="27"/>
    <s v="Tue"/>
  </r>
  <r>
    <x v="76"/>
    <x v="2"/>
    <s v="4K LED TV's"/>
    <x v="1"/>
    <n v="59000"/>
    <n v="29"/>
    <n v="1711000"/>
    <n v="1711000"/>
    <n v="2020"/>
    <s v="Oct"/>
    <n v="31"/>
    <s v="Sat"/>
  </r>
  <r>
    <x v="77"/>
    <x v="4"/>
    <s v="LED TV's"/>
    <x v="4"/>
    <n v="7999"/>
    <n v="31"/>
    <n v="247969"/>
    <n v="247969"/>
    <n v="2020"/>
    <s v="Nov"/>
    <n v="4"/>
    <s v="Wed"/>
  </r>
  <r>
    <x v="78"/>
    <x v="1"/>
    <s v="Mobiles"/>
    <x v="1"/>
    <n v="45000"/>
    <n v="34"/>
    <n v="1530000"/>
    <n v="1530000"/>
    <n v="2020"/>
    <s v="Nov"/>
    <n v="8"/>
    <s v="Sun"/>
  </r>
  <r>
    <x v="79"/>
    <x v="5"/>
    <s v="Speakers"/>
    <x v="0"/>
    <n v="990"/>
    <n v="43"/>
    <n v="42570"/>
    <n v="42570"/>
    <n v="2020"/>
    <s v="Nov"/>
    <n v="12"/>
    <s v="Thu"/>
  </r>
  <r>
    <x v="80"/>
    <x v="4"/>
    <s v="Laptops"/>
    <x v="0"/>
    <n v="11999"/>
    <n v="37"/>
    <n v="443963"/>
    <n v="443963"/>
    <n v="2020"/>
    <s v="Nov"/>
    <n v="16"/>
    <s v="Mon"/>
  </r>
  <r>
    <x v="81"/>
    <x v="4"/>
    <s v="LED TV's"/>
    <x v="0"/>
    <n v="960"/>
    <n v="7"/>
    <n v="6720"/>
    <n v="6720"/>
    <n v="2020"/>
    <s v="Nov"/>
    <n v="20"/>
    <s v="Fri"/>
  </r>
  <r>
    <x v="82"/>
    <x v="1"/>
    <s v="Furniture"/>
    <x v="2"/>
    <n v="1450"/>
    <n v="19"/>
    <n v="27550"/>
    <n v="27550"/>
    <n v="2020"/>
    <s v="Nov"/>
    <n v="24"/>
    <s v="Tue"/>
  </r>
  <r>
    <x v="83"/>
    <x v="2"/>
    <s v="4K LED TV's"/>
    <x v="1"/>
    <n v="45000"/>
    <n v="47"/>
    <n v="2115000"/>
    <n v="2115000"/>
    <n v="2020"/>
    <s v="Nov"/>
    <n v="28"/>
    <s v="Sat"/>
  </r>
  <r>
    <x v="84"/>
    <x v="1"/>
    <s v="Speakers"/>
    <x v="1"/>
    <n v="1499"/>
    <n v="37"/>
    <n v="55463"/>
    <n v="55463"/>
    <n v="2020"/>
    <s v="Dec"/>
    <n v="2"/>
    <s v="Wed"/>
  </r>
  <r>
    <x v="85"/>
    <x v="4"/>
    <s v="Laptops"/>
    <x v="2"/>
    <n v="79999"/>
    <n v="4"/>
    <n v="319996"/>
    <n v="319996"/>
    <n v="2020"/>
    <s v="Dec"/>
    <n v="6"/>
    <s v="Sun"/>
  </r>
  <r>
    <x v="86"/>
    <x v="3"/>
    <s v="4K LED TV's"/>
    <x v="4"/>
    <n v="999"/>
    <n v="45"/>
    <n v="44955"/>
    <n v="44955"/>
    <n v="2020"/>
    <s v="Dec"/>
    <n v="10"/>
    <s v="Thu"/>
  </r>
  <r>
    <x v="87"/>
    <x v="1"/>
    <s v="Laptops"/>
    <x v="0"/>
    <n v="52000"/>
    <n v="15"/>
    <n v="780000"/>
    <n v="780000"/>
    <n v="2020"/>
    <s v="Dec"/>
    <n v="14"/>
    <s v="Mon"/>
  </r>
  <r>
    <x v="88"/>
    <x v="2"/>
    <s v="4K LED TV's"/>
    <x v="3"/>
    <n v="52000"/>
    <n v="39"/>
    <n v="2028000"/>
    <n v="2028000"/>
    <n v="2020"/>
    <s v="Dec"/>
    <n v="18"/>
    <s v="Fri"/>
  </r>
  <r>
    <x v="89"/>
    <x v="4"/>
    <s v="LED TV's"/>
    <x v="2"/>
    <n v="960"/>
    <n v="33"/>
    <n v="31680"/>
    <n v="31680"/>
    <n v="2020"/>
    <s v="Dec"/>
    <n v="22"/>
    <s v="Tue"/>
  </r>
  <r>
    <x v="90"/>
    <x v="4"/>
    <s v="4K LED TV's"/>
    <x v="3"/>
    <n v="19500"/>
    <n v="45"/>
    <n v="877500"/>
    <n v="877500"/>
    <n v="2020"/>
    <s v="Dec"/>
    <n v="26"/>
    <s v="Sat"/>
  </r>
  <r>
    <x v="91"/>
    <x v="4"/>
    <s v="Laptops"/>
    <x v="3"/>
    <n v="2999"/>
    <n v="33"/>
    <n v="98967"/>
    <n v="98967"/>
    <n v="2020"/>
    <s v="Dec"/>
    <n v="30"/>
    <s v="Wed"/>
  </r>
  <r>
    <x v="92"/>
    <x v="1"/>
    <s v="LED TV's"/>
    <x v="4"/>
    <n v="1250"/>
    <n v="14"/>
    <n v="17500"/>
    <n v="17500"/>
    <n v="2021"/>
    <s v="Jan"/>
    <n v="3"/>
    <s v="Sun"/>
  </r>
  <r>
    <x v="93"/>
    <x v="1"/>
    <s v="Mobiles"/>
    <x v="0"/>
    <n v="120"/>
    <n v="41"/>
    <n v="4920"/>
    <n v="4920"/>
    <n v="2021"/>
    <s v="Jan"/>
    <n v="7"/>
    <s v="Thu"/>
  </r>
  <r>
    <x v="94"/>
    <x v="2"/>
    <s v="Furniture"/>
    <x v="3"/>
    <n v="1450"/>
    <n v="22"/>
    <n v="31900"/>
    <n v="31900"/>
    <n v="2021"/>
    <s v="Jan"/>
    <n v="11"/>
    <s v="Mon"/>
  </r>
  <r>
    <x v="95"/>
    <x v="4"/>
    <s v="Laptops"/>
    <x v="0"/>
    <n v="89999"/>
    <n v="15"/>
    <n v="1349985"/>
    <n v="1349985"/>
    <n v="2021"/>
    <s v="Jan"/>
    <n v="15"/>
    <s v="Fri"/>
  </r>
  <r>
    <x v="96"/>
    <x v="5"/>
    <s v="4K LED TV's"/>
    <x v="2"/>
    <n v="1999"/>
    <n v="48"/>
    <n v="95952"/>
    <n v="95952"/>
    <n v="2021"/>
    <s v="Jan"/>
    <n v="19"/>
    <s v="Tue"/>
  </r>
  <r>
    <x v="97"/>
    <x v="5"/>
    <s v="Speakers"/>
    <x v="3"/>
    <n v="2900"/>
    <n v="49"/>
    <n v="142100"/>
    <n v="142100"/>
    <n v="2021"/>
    <s v="Jan"/>
    <n v="23"/>
    <s v="Sat"/>
  </r>
  <r>
    <x v="98"/>
    <x v="4"/>
    <s v="Laptops"/>
    <x v="4"/>
    <n v="700"/>
    <n v="50"/>
    <n v="35000"/>
    <n v="35000"/>
    <n v="2021"/>
    <s v="Jan"/>
    <n v="27"/>
    <s v="Wed"/>
  </r>
  <r>
    <x v="99"/>
    <x v="3"/>
    <s v="Mobiles"/>
    <x v="3"/>
    <n v="200"/>
    <n v="41"/>
    <n v="8200"/>
    <n v="8200"/>
    <n v="2021"/>
    <s v="Jan"/>
    <n v="31"/>
    <s v="Sun"/>
  </r>
  <r>
    <x v="100"/>
    <x v="2"/>
    <s v="4K LED TV's"/>
    <x v="1"/>
    <n v="49000"/>
    <n v="29"/>
    <n v="1421000"/>
    <n v="1421000"/>
    <n v="2021"/>
    <s v="Feb"/>
    <n v="4"/>
    <s v="Thu"/>
  </r>
  <r>
    <x v="101"/>
    <x v="0"/>
    <s v="Furniture"/>
    <x v="4"/>
    <n v="5599"/>
    <n v="36"/>
    <n v="201564"/>
    <n v="201564"/>
    <n v="2021"/>
    <s v="Feb"/>
    <n v="8"/>
    <s v="Mon"/>
  </r>
  <r>
    <x v="102"/>
    <x v="3"/>
    <s v="Mobiles"/>
    <x v="3"/>
    <n v="13500"/>
    <n v="39"/>
    <n v="526500"/>
    <n v="526500"/>
    <n v="2021"/>
    <s v="Feb"/>
    <n v="12"/>
    <s v="Fri"/>
  </r>
  <r>
    <x v="103"/>
    <x v="2"/>
    <s v="Laptops"/>
    <x v="3"/>
    <n v="79999"/>
    <n v="9"/>
    <n v="719991"/>
    <n v="719991"/>
    <n v="2021"/>
    <s v="Feb"/>
    <n v="16"/>
    <s v="Tue"/>
  </r>
  <r>
    <x v="104"/>
    <x v="4"/>
    <s v="4K LED TV's"/>
    <x v="2"/>
    <n v="75200"/>
    <n v="38"/>
    <n v="2857600"/>
    <n v="2857600"/>
    <n v="2021"/>
    <s v="Feb"/>
    <n v="20"/>
    <s v="Sat"/>
  </r>
  <r>
    <x v="105"/>
    <x v="4"/>
    <s v="LED TV's"/>
    <x v="0"/>
    <n v="550"/>
    <n v="25"/>
    <n v="13750"/>
    <n v="13750"/>
    <n v="2021"/>
    <s v="Feb"/>
    <n v="24"/>
    <s v="Wed"/>
  </r>
  <r>
    <x v="106"/>
    <x v="0"/>
    <s v="Furniture"/>
    <x v="0"/>
    <n v="499"/>
    <n v="50"/>
    <n v="24950"/>
    <n v="24950"/>
    <n v="2021"/>
    <s v="Feb"/>
    <n v="28"/>
    <s v="Sun"/>
  </r>
  <r>
    <x v="107"/>
    <x v="0"/>
    <s v="Furniture"/>
    <x v="1"/>
    <n v="5599"/>
    <n v="33"/>
    <n v="184767"/>
    <n v="184767"/>
    <n v="2021"/>
    <s v="Mar"/>
    <n v="4"/>
    <s v="Thu"/>
  </r>
  <r>
    <x v="108"/>
    <x v="2"/>
    <s v="LED TV's"/>
    <x v="2"/>
    <n v="1450"/>
    <n v="44"/>
    <n v="63800"/>
    <n v="63800"/>
    <n v="2021"/>
    <s v="Mar"/>
    <n v="8"/>
    <s v="Mon"/>
  </r>
  <r>
    <x v="109"/>
    <x v="3"/>
    <s v="Mobiles"/>
    <x v="0"/>
    <n v="999"/>
    <n v="31"/>
    <n v="30969"/>
    <n v="30969"/>
    <n v="2021"/>
    <s v="Mar"/>
    <n v="12"/>
    <s v="Fri"/>
  </r>
  <r>
    <x v="110"/>
    <x v="3"/>
    <s v="Mobiles"/>
    <x v="3"/>
    <n v="100"/>
    <n v="11"/>
    <n v="1100"/>
    <n v="1100"/>
    <n v="2021"/>
    <s v="Mar"/>
    <n v="16"/>
    <s v="Tue"/>
  </r>
  <r>
    <x v="111"/>
    <x v="2"/>
    <s v="Furniture"/>
    <x v="3"/>
    <n v="2550"/>
    <n v="48"/>
    <n v="122400"/>
    <n v="122400"/>
    <n v="2021"/>
    <s v="Mar"/>
    <n v="20"/>
    <s v="Sat"/>
  </r>
  <r>
    <x v="112"/>
    <x v="4"/>
    <s v="Laptops"/>
    <x v="3"/>
    <n v="33000"/>
    <n v="26"/>
    <n v="858000"/>
    <n v="858000"/>
    <n v="2021"/>
    <s v="Mar"/>
    <n v="24"/>
    <s v="Wed"/>
  </r>
  <r>
    <x v="113"/>
    <x v="1"/>
    <s v="Furniture"/>
    <x v="2"/>
    <n v="800"/>
    <n v="39"/>
    <n v="31200"/>
    <n v="31200"/>
    <n v="2021"/>
    <s v="Mar"/>
    <n v="28"/>
    <s v="Sun"/>
  </r>
  <r>
    <x v="114"/>
    <x v="5"/>
    <s v="Speakers"/>
    <x v="2"/>
    <n v="990"/>
    <n v="9"/>
    <n v="8910"/>
    <n v="8910"/>
    <n v="2021"/>
    <s v="Apr"/>
    <n v="1"/>
    <s v="Thu"/>
  </r>
  <r>
    <x v="115"/>
    <x v="0"/>
    <s v="Furniture"/>
    <x v="0"/>
    <n v="5599"/>
    <n v="41"/>
    <n v="229559"/>
    <n v="229559"/>
    <n v="2021"/>
    <s v="Apr"/>
    <n v="5"/>
    <s v="Mon"/>
  </r>
  <r>
    <x v="116"/>
    <x v="4"/>
    <s v="Laptops"/>
    <x v="0"/>
    <n v="499"/>
    <n v="39"/>
    <n v="19461"/>
    <n v="19461"/>
    <n v="2021"/>
    <s v="Apr"/>
    <n v="9"/>
    <s v="Fri"/>
  </r>
  <r>
    <x v="117"/>
    <x v="5"/>
    <s v="Speakers"/>
    <x v="0"/>
    <n v="1999"/>
    <n v="4"/>
    <n v="7996"/>
    <n v="7996"/>
    <n v="2021"/>
    <s v="Apr"/>
    <n v="13"/>
    <s v="Tue"/>
  </r>
  <r>
    <x v="118"/>
    <x v="2"/>
    <s v="Mobiles"/>
    <x v="0"/>
    <n v="200"/>
    <n v="8"/>
    <n v="1600"/>
    <n v="1600"/>
    <n v="2021"/>
    <s v="Apr"/>
    <n v="17"/>
    <s v="Sat"/>
  </r>
  <r>
    <x v="119"/>
    <x v="5"/>
    <s v="Speakers"/>
    <x v="2"/>
    <n v="1499"/>
    <n v="27"/>
    <n v="40473"/>
    <n v="40473"/>
    <n v="2021"/>
    <s v="Apr"/>
    <n v="21"/>
    <s v="Wed"/>
  </r>
  <r>
    <x v="120"/>
    <x v="3"/>
    <s v="Mobiles"/>
    <x v="4"/>
    <n v="120"/>
    <n v="10"/>
    <n v="1200"/>
    <n v="1200"/>
    <n v="2021"/>
    <s v="Apr"/>
    <n v="25"/>
    <s v="Sun"/>
  </r>
  <r>
    <x v="121"/>
    <x v="1"/>
    <s v="Laptops"/>
    <x v="4"/>
    <n v="11999"/>
    <n v="17"/>
    <n v="203983"/>
    <n v="203983"/>
    <n v="2021"/>
    <s v="Apr"/>
    <n v="29"/>
    <s v="Thu"/>
  </r>
  <r>
    <x v="122"/>
    <x v="1"/>
    <s v="Laptops"/>
    <x v="1"/>
    <n v="999"/>
    <n v="27"/>
    <n v="26973"/>
    <n v="26973"/>
    <n v="2021"/>
    <s v="May"/>
    <n v="3"/>
    <s v="Mon"/>
  </r>
  <r>
    <x v="123"/>
    <x v="2"/>
    <s v="Laptops"/>
    <x v="2"/>
    <n v="2999"/>
    <n v="43"/>
    <n v="128957"/>
    <n v="128957"/>
    <n v="2021"/>
    <s v="May"/>
    <n v="7"/>
    <s v="Fri"/>
  </r>
  <r>
    <x v="124"/>
    <x v="3"/>
    <s v="4K LED TV's"/>
    <x v="1"/>
    <n v="47800"/>
    <n v="9"/>
    <n v="430200"/>
    <n v="430200"/>
    <n v="2021"/>
    <s v="May"/>
    <n v="11"/>
    <s v="Tue"/>
  </r>
  <r>
    <x v="125"/>
    <x v="4"/>
    <s v="4K LED TV's"/>
    <x v="0"/>
    <n v="22000"/>
    <n v="42"/>
    <n v="924000"/>
    <n v="924000"/>
    <n v="2021"/>
    <s v="May"/>
    <n v="15"/>
    <s v="Sat"/>
  </r>
  <r>
    <x v="126"/>
    <x v="4"/>
    <s v="LED TV's"/>
    <x v="1"/>
    <n v="1250"/>
    <n v="6"/>
    <n v="7500"/>
    <n v="7500"/>
    <n v="2021"/>
    <s v="May"/>
    <n v="19"/>
    <s v="Wed"/>
  </r>
  <r>
    <x v="127"/>
    <x v="3"/>
    <s v="Mobiles"/>
    <x v="2"/>
    <n v="999"/>
    <n v="28"/>
    <n v="27972"/>
    <n v="27972"/>
    <n v="2021"/>
    <s v="May"/>
    <n v="23"/>
    <s v="Sun"/>
  </r>
  <r>
    <x v="128"/>
    <x v="4"/>
    <s v="LED TV's"/>
    <x v="4"/>
    <n v="1450"/>
    <n v="13"/>
    <n v="18850"/>
    <n v="18850"/>
    <n v="2021"/>
    <s v="May"/>
    <n v="27"/>
    <s v="Thu"/>
  </r>
  <r>
    <x v="129"/>
    <x v="4"/>
    <s v="LED TV's"/>
    <x v="4"/>
    <n v="23999"/>
    <n v="8"/>
    <n v="191992"/>
    <n v="191992"/>
    <n v="2021"/>
    <s v="May"/>
    <n v="31"/>
    <s v="Mon"/>
  </r>
  <r>
    <x v="130"/>
    <x v="1"/>
    <s v="4K LED TV's"/>
    <x v="4"/>
    <n v="92000"/>
    <n v="7"/>
    <n v="644000"/>
    <n v="644000"/>
    <n v="2021"/>
    <s v="Jun"/>
    <n v="4"/>
    <s v="Fri"/>
  </r>
  <r>
    <x v="131"/>
    <x v="5"/>
    <s v="Speakers"/>
    <x v="2"/>
    <n v="699"/>
    <n v="45"/>
    <n v="31455"/>
    <n v="31455"/>
    <n v="2021"/>
    <s v="Jun"/>
    <n v="8"/>
    <s v="Tue"/>
  </r>
  <r>
    <x v="132"/>
    <x v="0"/>
    <s v="Furniture"/>
    <x v="0"/>
    <n v="2550"/>
    <n v="22"/>
    <n v="56100"/>
    <n v="56100"/>
    <n v="2021"/>
    <s v="Jun"/>
    <n v="12"/>
    <s v="Sat"/>
  </r>
  <r>
    <x v="133"/>
    <x v="2"/>
    <s v="Laptops"/>
    <x v="4"/>
    <n v="22000"/>
    <n v="4"/>
    <n v="88000"/>
    <n v="88000"/>
    <n v="2021"/>
    <s v="Jun"/>
    <n v="16"/>
    <s v="Wed"/>
  </r>
  <r>
    <x v="134"/>
    <x v="4"/>
    <s v="Laptops"/>
    <x v="0"/>
    <n v="22000"/>
    <n v="10"/>
    <n v="220000"/>
    <n v="220000"/>
    <n v="2021"/>
    <s v="Jun"/>
    <n v="20"/>
    <s v="Sun"/>
  </r>
  <r>
    <x v="135"/>
    <x v="1"/>
    <s v="Speakers"/>
    <x v="2"/>
    <n v="1499"/>
    <n v="16"/>
    <n v="23984"/>
    <n v="23984"/>
    <n v="2021"/>
    <s v="Jun"/>
    <n v="24"/>
    <s v="Thu"/>
  </r>
  <r>
    <x v="136"/>
    <x v="3"/>
    <s v="Mobiles"/>
    <x v="4"/>
    <n v="120"/>
    <n v="22"/>
    <n v="2640"/>
    <n v="2640"/>
    <n v="2021"/>
    <s v="Jun"/>
    <n v="28"/>
    <s v="Mon"/>
  </r>
  <r>
    <x v="137"/>
    <x v="0"/>
    <s v="Furniture"/>
    <x v="1"/>
    <n v="1450"/>
    <n v="20"/>
    <n v="29000"/>
    <n v="29000"/>
    <n v="2021"/>
    <s v="Jul"/>
    <n v="2"/>
    <s v="Fri"/>
  </r>
  <r>
    <x v="138"/>
    <x v="5"/>
    <s v="Speakers"/>
    <x v="2"/>
    <n v="1999"/>
    <n v="23"/>
    <n v="45977"/>
    <n v="45977"/>
    <n v="2021"/>
    <s v="Jul"/>
    <n v="6"/>
    <s v="Tue"/>
  </r>
  <r>
    <x v="139"/>
    <x v="1"/>
    <s v="Furniture"/>
    <x v="5"/>
    <n v="800"/>
    <n v="43"/>
    <n v="34400"/>
    <n v="34400"/>
    <n v="2021"/>
    <s v="Jul"/>
    <n v="10"/>
    <s v="Sat"/>
  </r>
  <r>
    <x v="140"/>
    <x v="3"/>
    <s v="Mobiles"/>
    <x v="4"/>
    <n v="100"/>
    <n v="41"/>
    <n v="4100"/>
    <n v="4100"/>
    <n v="2021"/>
    <s v="Jul"/>
    <n v="14"/>
    <s v="Wed"/>
  </r>
  <r>
    <x v="141"/>
    <x v="0"/>
    <s v="4K LED TV's"/>
    <x v="4"/>
    <n v="13999"/>
    <n v="37"/>
    <n v="517963"/>
    <n v="517963"/>
    <n v="2021"/>
    <s v="Jul"/>
    <n v="18"/>
    <s v="Sun"/>
  </r>
  <r>
    <x v="142"/>
    <x v="2"/>
    <s v="Laptops"/>
    <x v="3"/>
    <n v="22000"/>
    <n v="45"/>
    <n v="990000"/>
    <n v="990000"/>
    <n v="2021"/>
    <s v="Jul"/>
    <n v="22"/>
    <s v="Thu"/>
  </r>
  <r>
    <x v="143"/>
    <x v="4"/>
    <s v="Laptops"/>
    <x v="5"/>
    <n v="89999"/>
    <n v="15"/>
    <n v="1349985"/>
    <n v="1349985"/>
    <n v="2021"/>
    <s v="Jul"/>
    <n v="26"/>
    <s v="Mon"/>
  </r>
  <r>
    <x v="144"/>
    <x v="0"/>
    <s v="Furniture"/>
    <x v="3"/>
    <n v="13999"/>
    <n v="22"/>
    <n v="307978"/>
    <n v="307978"/>
    <n v="2021"/>
    <s v="Jul"/>
    <n v="30"/>
    <s v="Fri"/>
  </r>
  <r>
    <x v="145"/>
    <x v="1"/>
    <s v="Speakers"/>
    <x v="2"/>
    <n v="2900"/>
    <n v="20"/>
    <n v="58000"/>
    <n v="58000"/>
    <n v="2021"/>
    <s v="Aug"/>
    <n v="3"/>
    <s v="Tue"/>
  </r>
  <r>
    <x v="146"/>
    <x v="4"/>
    <s v="Laptops"/>
    <x v="3"/>
    <n v="33000"/>
    <n v="16"/>
    <n v="528000"/>
    <n v="528000"/>
    <n v="2021"/>
    <s v="Aug"/>
    <n v="7"/>
    <s v="Sat"/>
  </r>
  <r>
    <x v="147"/>
    <x v="1"/>
    <s v="Laptops"/>
    <x v="1"/>
    <n v="22000"/>
    <n v="17"/>
    <n v="374000"/>
    <n v="374000"/>
    <n v="2021"/>
    <s v="Aug"/>
    <n v="11"/>
    <s v="Wed"/>
  </r>
  <r>
    <x v="148"/>
    <x v="1"/>
    <s v="Speakers"/>
    <x v="1"/>
    <n v="45000"/>
    <n v="50"/>
    <n v="2250000"/>
    <n v="2250000"/>
    <n v="2021"/>
    <s v="Aug"/>
    <n v="15"/>
    <s v="Sun"/>
  </r>
  <r>
    <x v="149"/>
    <x v="4"/>
    <s v="4K LED TV's"/>
    <x v="2"/>
    <n v="499"/>
    <n v="4"/>
    <n v="1996"/>
    <n v="1996"/>
    <n v="2021"/>
    <s v="Aug"/>
    <n v="19"/>
    <s v="Thu"/>
  </r>
  <r>
    <x v="150"/>
    <x v="5"/>
    <s v="Speakers"/>
    <x v="3"/>
    <n v="590"/>
    <n v="43"/>
    <n v="25370"/>
    <n v="25370"/>
    <n v="2021"/>
    <s v="Aug"/>
    <n v="23"/>
    <s v="Mon"/>
  </r>
  <r>
    <x v="151"/>
    <x v="2"/>
    <s v="Speakers"/>
    <x v="1"/>
    <n v="590"/>
    <n v="42"/>
    <n v="24780"/>
    <n v="24780"/>
    <n v="2021"/>
    <s v="Aug"/>
    <n v="27"/>
    <s v="Fri"/>
  </r>
  <r>
    <x v="152"/>
    <x v="3"/>
    <s v="Mobiles"/>
    <x v="0"/>
    <n v="12000"/>
    <n v="9"/>
    <n v="108000"/>
    <n v="108000"/>
    <n v="2021"/>
    <s v="Aug"/>
    <n v="31"/>
    <s v="Tue"/>
  </r>
  <r>
    <x v="153"/>
    <x v="4"/>
    <s v="Laptops"/>
    <x v="5"/>
    <n v="52000"/>
    <n v="40"/>
    <n v="2080000"/>
    <n v="2080000"/>
    <n v="2021"/>
    <s v="Sep"/>
    <n v="4"/>
    <s v="Sat"/>
  </r>
  <r>
    <x v="154"/>
    <x v="4"/>
    <s v="LED TV's"/>
    <x v="3"/>
    <n v="7999"/>
    <n v="14"/>
    <n v="111986"/>
    <n v="111986"/>
    <n v="2021"/>
    <s v="Sep"/>
    <n v="8"/>
    <s v="Wed"/>
  </r>
  <r>
    <x v="155"/>
    <x v="1"/>
    <s v="LED TV's"/>
    <x v="4"/>
    <n v="5000"/>
    <n v="9"/>
    <n v="45000"/>
    <n v="45000"/>
    <n v="2021"/>
    <s v="Sep"/>
    <n v="12"/>
    <s v="Sun"/>
  </r>
  <r>
    <x v="156"/>
    <x v="4"/>
    <s v="Laptops"/>
    <x v="3"/>
    <n v="79999"/>
    <n v="10"/>
    <n v="799990"/>
    <n v="799990"/>
    <n v="2021"/>
    <s v="Sep"/>
    <n v="16"/>
    <s v="Thu"/>
  </r>
  <r>
    <x v="157"/>
    <x v="5"/>
    <s v="4K LED TV's"/>
    <x v="2"/>
    <n v="1999"/>
    <n v="37"/>
    <n v="73963"/>
    <n v="73963"/>
    <n v="2021"/>
    <s v="Sep"/>
    <n v="20"/>
    <s v="Mon"/>
  </r>
  <r>
    <x v="158"/>
    <x v="4"/>
    <s v="Laptops"/>
    <x v="3"/>
    <n v="89999"/>
    <n v="29"/>
    <n v="2609971"/>
    <n v="2609971"/>
    <n v="2021"/>
    <s v="Sep"/>
    <n v="24"/>
    <s v="Fri"/>
  </r>
  <r>
    <x v="159"/>
    <x v="2"/>
    <s v="Laptops"/>
    <x v="0"/>
    <n v="799"/>
    <n v="44"/>
    <n v="35156"/>
    <n v="35156"/>
    <n v="2021"/>
    <s v="Sep"/>
    <n v="28"/>
    <s v="Tue"/>
  </r>
  <r>
    <x v="160"/>
    <x v="4"/>
    <s v="Laptops"/>
    <x v="1"/>
    <n v="3990"/>
    <n v="31"/>
    <n v="123690"/>
    <n v="123690"/>
    <n v="2021"/>
    <s v="Oct"/>
    <n v="2"/>
    <s v="Sat"/>
  </r>
  <r>
    <x v="161"/>
    <x v="1"/>
    <s v="Laptops"/>
    <x v="2"/>
    <n v="52000"/>
    <n v="29"/>
    <n v="1508000"/>
    <n v="1508000"/>
    <n v="2021"/>
    <s v="Oct"/>
    <n v="6"/>
    <s v="Wed"/>
  </r>
  <r>
    <x v="162"/>
    <x v="1"/>
    <s v="Furniture"/>
    <x v="3"/>
    <n v="13999"/>
    <n v="34"/>
    <n v="475966"/>
    <n v="475966"/>
    <n v="2021"/>
    <s v="Oct"/>
    <n v="10"/>
    <s v="Sun"/>
  </r>
  <r>
    <x v="163"/>
    <x v="3"/>
    <s v="Mobiles"/>
    <x v="2"/>
    <n v="14500"/>
    <n v="29"/>
    <n v="420500"/>
    <n v="420500"/>
    <n v="2021"/>
    <s v="Oct"/>
    <n v="14"/>
    <s v="Thu"/>
  </r>
  <r>
    <x v="164"/>
    <x v="4"/>
    <s v="LED TV's"/>
    <x v="5"/>
    <n v="23999"/>
    <n v="25"/>
    <n v="599975"/>
    <n v="599975"/>
    <n v="2021"/>
    <s v="Oct"/>
    <n v="18"/>
    <s v="Mon"/>
  </r>
  <r>
    <x v="165"/>
    <x v="4"/>
    <s v="LED TV's"/>
    <x v="3"/>
    <n v="1250"/>
    <n v="31"/>
    <n v="38750"/>
    <n v="38750"/>
    <n v="2021"/>
    <s v="Oct"/>
    <n v="22"/>
    <s v="Fri"/>
  </r>
  <r>
    <x v="166"/>
    <x v="5"/>
    <s v="4K LED TV's"/>
    <x v="3"/>
    <n v="35600"/>
    <n v="16"/>
    <n v="569600"/>
    <n v="569600"/>
    <n v="2021"/>
    <s v="Oct"/>
    <n v="26"/>
    <s v="Tue"/>
  </r>
  <r>
    <x v="167"/>
    <x v="3"/>
    <s v="Mobiles"/>
    <x v="3"/>
    <n v="65000"/>
    <n v="48"/>
    <n v="3120000"/>
    <n v="3120000"/>
    <n v="2021"/>
    <s v="Oct"/>
    <n v="30"/>
    <s v="Sat"/>
  </r>
  <r>
    <x v="168"/>
    <x v="2"/>
    <s v="Mobiles"/>
    <x v="5"/>
    <n v="12000"/>
    <n v="22"/>
    <n v="264000"/>
    <n v="264000"/>
    <n v="2021"/>
    <s v="Nov"/>
    <n v="3"/>
    <s v="Wed"/>
  </r>
  <r>
    <x v="169"/>
    <x v="5"/>
    <s v="Speakers"/>
    <x v="3"/>
    <n v="699"/>
    <n v="6"/>
    <n v="4194"/>
    <n v="4194"/>
    <n v="2021"/>
    <s v="Nov"/>
    <n v="7"/>
    <s v="Sun"/>
  </r>
  <r>
    <x v="170"/>
    <x v="5"/>
    <s v="4K LED TV's"/>
    <x v="2"/>
    <n v="990"/>
    <n v="12"/>
    <n v="11880"/>
    <n v="11880"/>
    <n v="2021"/>
    <s v="Nov"/>
    <n v="11"/>
    <s v="Thu"/>
  </r>
  <r>
    <x v="171"/>
    <x v="5"/>
    <s v="Speakers"/>
    <x v="0"/>
    <n v="450"/>
    <n v="44"/>
    <n v="19800"/>
    <n v="19800"/>
    <n v="2021"/>
    <s v="Nov"/>
    <n v="15"/>
    <s v="Mon"/>
  </r>
  <r>
    <x v="172"/>
    <x v="5"/>
    <s v="4K LED TV's"/>
    <x v="0"/>
    <n v="1499"/>
    <n v="15"/>
    <n v="22485"/>
    <n v="22485"/>
    <n v="2021"/>
    <s v="Nov"/>
    <n v="19"/>
    <s v="Fri"/>
  </r>
  <r>
    <x v="173"/>
    <x v="0"/>
    <s v="Furniture"/>
    <x v="4"/>
    <n v="499"/>
    <n v="26"/>
    <n v="12974"/>
    <n v="12974"/>
    <n v="2021"/>
    <s v="Nov"/>
    <n v="23"/>
    <s v="Tue"/>
  </r>
  <r>
    <x v="174"/>
    <x v="4"/>
    <s v="LED TV's"/>
    <x v="4"/>
    <n v="960"/>
    <n v="16"/>
    <n v="15360"/>
    <n v="15360"/>
    <n v="2021"/>
    <s v="Nov"/>
    <n v="27"/>
    <s v="Sat"/>
  </r>
  <r>
    <x v="175"/>
    <x v="2"/>
    <s v="4K LED TV's"/>
    <x v="3"/>
    <n v="5599"/>
    <n v="35"/>
    <n v="195965"/>
    <n v="195965"/>
    <n v="2021"/>
    <s v="Dec"/>
    <n v="1"/>
    <s v="Wed"/>
  </r>
  <r>
    <x v="176"/>
    <x v="3"/>
    <s v="Mobiles"/>
    <x v="0"/>
    <n v="89"/>
    <n v="36"/>
    <n v="3204"/>
    <n v="3204"/>
    <n v="2021"/>
    <s v="Dec"/>
    <n v="5"/>
    <s v="Sun"/>
  </r>
  <r>
    <x v="177"/>
    <x v="0"/>
    <s v="Furniture"/>
    <x v="2"/>
    <n v="2550"/>
    <n v="20"/>
    <n v="51000"/>
    <n v="51000"/>
    <n v="2021"/>
    <s v="Dec"/>
    <n v="9"/>
    <s v="Thu"/>
  </r>
  <r>
    <x v="178"/>
    <x v="0"/>
    <s v="Furniture"/>
    <x v="0"/>
    <n v="1450"/>
    <n v="47"/>
    <n v="68150"/>
    <n v="68150"/>
    <n v="2021"/>
    <s v="Dec"/>
    <n v="13"/>
    <s v="Mon"/>
  </r>
  <r>
    <x v="179"/>
    <x v="5"/>
    <s v="Speakers"/>
    <x v="3"/>
    <n v="2900"/>
    <n v="6"/>
    <n v="17400"/>
    <n v="17400"/>
    <n v="2021"/>
    <s v="Dec"/>
    <n v="17"/>
    <s v="Fri"/>
  </r>
  <r>
    <x v="180"/>
    <x v="3"/>
    <s v="Mobiles"/>
    <x v="4"/>
    <n v="120"/>
    <n v="6"/>
    <n v="720"/>
    <n v="720"/>
    <n v="2021"/>
    <s v="Dec"/>
    <n v="21"/>
    <s v="Tue"/>
  </r>
  <r>
    <x v="181"/>
    <x v="4"/>
    <s v="Laptops"/>
    <x v="4"/>
    <n v="52000"/>
    <n v="41"/>
    <n v="2132000"/>
    <n v="2132000"/>
    <n v="2021"/>
    <s v="Dec"/>
    <n v="25"/>
    <s v="Sat"/>
  </r>
  <r>
    <x v="182"/>
    <x v="5"/>
    <s v="Speakers"/>
    <x v="2"/>
    <n v="590"/>
    <n v="29"/>
    <n v="17110"/>
    <n v="17110"/>
    <n v="2021"/>
    <s v="Dec"/>
    <n v="29"/>
    <s v="Wed"/>
  </r>
  <r>
    <x v="183"/>
    <x v="4"/>
    <s v="4K LED TV's"/>
    <x v="5"/>
    <n v="7999"/>
    <n v="31"/>
    <n v="247969"/>
    <n v="247969"/>
    <n v="2022"/>
    <s v="Jan"/>
    <n v="2"/>
    <s v="Sun"/>
  </r>
  <r>
    <x v="184"/>
    <x v="1"/>
    <s v="Mobiles"/>
    <x v="2"/>
    <n v="999"/>
    <n v="34"/>
    <n v="33966"/>
    <n v="33966"/>
    <n v="2022"/>
    <s v="Jan"/>
    <n v="6"/>
    <s v="Thu"/>
  </r>
  <r>
    <x v="185"/>
    <x v="2"/>
    <s v="Speakers"/>
    <x v="0"/>
    <n v="990"/>
    <n v="43"/>
    <n v="42570"/>
    <n v="42570"/>
    <n v="2022"/>
    <s v="Jan"/>
    <n v="10"/>
    <s v="Mon"/>
  </r>
  <r>
    <x v="186"/>
    <x v="4"/>
    <s v="Laptops"/>
    <x v="0"/>
    <n v="11999"/>
    <n v="37"/>
    <n v="443963"/>
    <n v="443963"/>
    <n v="2022"/>
    <s v="Jan"/>
    <n v="14"/>
    <s v="Fri"/>
  </r>
  <r>
    <x v="187"/>
    <x v="4"/>
    <s v="LED TV's"/>
    <x v="0"/>
    <n v="960"/>
    <n v="7"/>
    <n v="6720"/>
    <n v="6720"/>
    <n v="2022"/>
    <s v="Jan"/>
    <n v="18"/>
    <s v="Tue"/>
  </r>
  <r>
    <x v="188"/>
    <x v="0"/>
    <s v="Furniture"/>
    <x v="2"/>
    <n v="1450"/>
    <n v="19"/>
    <n v="27550"/>
    <n v="27550"/>
    <n v="2022"/>
    <s v="Jan"/>
    <n v="22"/>
    <s v="Sat"/>
  </r>
  <r>
    <x v="189"/>
    <x v="5"/>
    <s v="Speakers"/>
    <x v="1"/>
    <n v="450"/>
    <n v="47"/>
    <n v="21150"/>
    <n v="21150"/>
    <n v="2022"/>
    <s v="Jan"/>
    <n v="26"/>
    <s v="Wed"/>
  </r>
  <r>
    <x v="190"/>
    <x v="1"/>
    <s v="Speakers"/>
    <x v="2"/>
    <n v="1499"/>
    <n v="37"/>
    <n v="55463"/>
    <n v="55463"/>
    <n v="2022"/>
    <s v="Jan"/>
    <n v="30"/>
    <s v="Sun"/>
  </r>
  <r>
    <x v="191"/>
    <x v="2"/>
    <s v="Laptops"/>
    <x v="1"/>
    <n v="79999"/>
    <n v="4"/>
    <n v="319996"/>
    <n v="319996"/>
    <n v="2022"/>
    <s v="Feb"/>
    <n v="3"/>
    <s v="Thu"/>
  </r>
  <r>
    <x v="192"/>
    <x v="2"/>
    <s v="Mobiles"/>
    <x v="4"/>
    <n v="999"/>
    <n v="45"/>
    <n v="44955"/>
    <n v="44955"/>
    <n v="2022"/>
    <s v="Feb"/>
    <n v="7"/>
    <s v="Mon"/>
  </r>
  <r>
    <x v="193"/>
    <x v="4"/>
    <s v="Laptops"/>
    <x v="0"/>
    <n v="52000"/>
    <n v="15"/>
    <n v="780000"/>
    <n v="780000"/>
    <n v="2022"/>
    <s v="Feb"/>
    <n v="11"/>
    <s v="Fri"/>
  </r>
  <r>
    <x v="194"/>
    <x v="4"/>
    <s v="Laptops"/>
    <x v="3"/>
    <n v="52000"/>
    <n v="39"/>
    <n v="2028000"/>
    <n v="2028000"/>
    <n v="2022"/>
    <s v="Feb"/>
    <n v="15"/>
    <s v="Tue"/>
  </r>
  <r>
    <x v="195"/>
    <x v="4"/>
    <s v="LED TV's"/>
    <x v="2"/>
    <n v="960"/>
    <n v="33"/>
    <n v="31680"/>
    <n v="31680"/>
    <n v="2022"/>
    <s v="Feb"/>
    <n v="19"/>
    <s v="Sat"/>
  </r>
  <r>
    <x v="196"/>
    <x v="4"/>
    <s v="LED TV's"/>
    <x v="2"/>
    <n v="1450"/>
    <n v="34"/>
    <n v="49300"/>
    <n v="49300"/>
    <n v="2022"/>
    <s v="Feb"/>
    <n v="23"/>
    <s v="Wed"/>
  </r>
  <r>
    <x v="197"/>
    <x v="4"/>
    <s v="4K LED TV's"/>
    <x v="3"/>
    <n v="2999"/>
    <n v="33"/>
    <n v="98967"/>
    <n v="98967"/>
    <n v="2022"/>
    <s v="Feb"/>
    <n v="27"/>
    <s v="Sun"/>
  </r>
  <r>
    <x v="198"/>
    <x v="2"/>
    <s v="LED TV's"/>
    <x v="4"/>
    <n v="1250"/>
    <n v="14"/>
    <n v="17500"/>
    <n v="17500"/>
    <n v="2022"/>
    <s v="Mar"/>
    <n v="3"/>
    <s v="Thu"/>
  </r>
  <r>
    <x v="199"/>
    <x v="3"/>
    <s v="Mobiles"/>
    <x v="0"/>
    <n v="120"/>
    <n v="41"/>
    <n v="4920"/>
    <n v="4920"/>
    <n v="2022"/>
    <s v="Mar"/>
    <n v="7"/>
    <s v="Mon"/>
  </r>
  <r>
    <x v="200"/>
    <x v="1"/>
    <s v="Furniture"/>
    <x v="3"/>
    <n v="1450"/>
    <n v="22"/>
    <n v="31900"/>
    <n v="31900"/>
    <n v="2022"/>
    <s v="Mar"/>
    <n v="11"/>
    <s v="Fri"/>
  </r>
  <r>
    <x v="201"/>
    <x v="1"/>
    <s v="Laptops"/>
    <x v="0"/>
    <n v="89999"/>
    <n v="15"/>
    <n v="1349985"/>
    <n v="1349985"/>
    <n v="2022"/>
    <s v="Mar"/>
    <n v="15"/>
    <s v="Tue"/>
  </r>
  <r>
    <x v="202"/>
    <x v="5"/>
    <s v="Speakers"/>
    <x v="2"/>
    <n v="1999"/>
    <n v="48"/>
    <n v="95952"/>
    <n v="95952"/>
    <n v="2022"/>
    <s v="Mar"/>
    <n v="19"/>
    <s v="Sat"/>
  </r>
  <r>
    <x v="203"/>
    <x v="5"/>
    <s v="4K LED TV's"/>
    <x v="3"/>
    <n v="2900"/>
    <n v="49"/>
    <n v="142100"/>
    <n v="142100"/>
    <n v="2022"/>
    <s v="Mar"/>
    <n v="23"/>
    <s v="Wed"/>
  </r>
  <r>
    <x v="204"/>
    <x v="4"/>
    <s v="Laptops"/>
    <x v="4"/>
    <n v="700"/>
    <n v="50"/>
    <n v="35000"/>
    <n v="35000"/>
    <n v="2022"/>
    <s v="Mar"/>
    <n v="27"/>
    <s v="Sun"/>
  </r>
  <r>
    <x v="205"/>
    <x v="3"/>
    <s v="Mobiles"/>
    <x v="3"/>
    <n v="200"/>
    <n v="41"/>
    <n v="8200"/>
    <n v="8200"/>
    <n v="2022"/>
    <s v="Mar"/>
    <n v="31"/>
    <s v="Thu"/>
  </r>
  <r>
    <x v="206"/>
    <x v="0"/>
    <s v="Furniture"/>
    <x v="2"/>
    <n v="499"/>
    <n v="29"/>
    <n v="14471"/>
    <n v="14471"/>
    <n v="2022"/>
    <s v="Apr"/>
    <n v="4"/>
    <s v="Mon"/>
  </r>
  <r>
    <x v="207"/>
    <x v="2"/>
    <s v="Furniture"/>
    <x v="5"/>
    <n v="5599"/>
    <n v="36"/>
    <n v="201564"/>
    <n v="201564"/>
    <n v="2022"/>
    <s v="Apr"/>
    <n v="8"/>
    <s v="Fri"/>
  </r>
  <r>
    <x v="208"/>
    <x v="1"/>
    <s v="Mobiles"/>
    <x v="3"/>
    <n v="100"/>
    <n v="39"/>
    <n v="3900"/>
    <n v="3900"/>
    <n v="2022"/>
    <s v="Apr"/>
    <n v="12"/>
    <s v="Tue"/>
  </r>
  <r>
    <x v="209"/>
    <x v="4"/>
    <s v="4K LED TV's"/>
    <x v="3"/>
    <n v="79999"/>
    <n v="9"/>
    <n v="719991"/>
    <n v="719991"/>
    <n v="2022"/>
    <s v="Apr"/>
    <n v="16"/>
    <s v="Sat"/>
  </r>
  <r>
    <x v="210"/>
    <x v="2"/>
    <s v="Laptops"/>
    <x v="2"/>
    <n v="700"/>
    <n v="38"/>
    <n v="26600"/>
    <n v="26600"/>
    <n v="2022"/>
    <s v="Apr"/>
    <n v="20"/>
    <s v="Wed"/>
  </r>
  <r>
    <x v="211"/>
    <x v="4"/>
    <s v="LED TV's"/>
    <x v="0"/>
    <n v="550"/>
    <n v="25"/>
    <n v="13750"/>
    <n v="13750"/>
    <n v="2022"/>
    <s v="Apr"/>
    <n v="24"/>
    <s v="Sun"/>
  </r>
  <r>
    <x v="212"/>
    <x v="5"/>
    <s v="Speakers"/>
    <x v="3"/>
    <n v="1499"/>
    <n v="16"/>
    <n v="23984"/>
    <n v="23984"/>
    <n v="2022"/>
    <s v="Apr"/>
    <n v="28"/>
    <s v="Thu"/>
  </r>
  <r>
    <x v="213"/>
    <x v="3"/>
    <s v="Mobiles"/>
    <x v="4"/>
    <n v="120"/>
    <n v="22"/>
    <n v="2640"/>
    <n v="2640"/>
    <n v="2022"/>
    <s v="May"/>
    <n v="2"/>
    <s v="Mon"/>
  </r>
  <r>
    <x v="214"/>
    <x v="0"/>
    <s v="Furniture"/>
    <x v="1"/>
    <n v="1450"/>
    <n v="20"/>
    <n v="29000"/>
    <n v="29000"/>
    <n v="2022"/>
    <s v="May"/>
    <n v="6"/>
    <s v="Fri"/>
  </r>
  <r>
    <x v="215"/>
    <x v="5"/>
    <s v="4K LED TV's"/>
    <x v="2"/>
    <n v="1999"/>
    <n v="23"/>
    <n v="45977"/>
    <n v="45977"/>
    <n v="2022"/>
    <s v="May"/>
    <n v="10"/>
    <s v="Tue"/>
  </r>
  <r>
    <x v="216"/>
    <x v="0"/>
    <s v="Furniture"/>
    <x v="3"/>
    <n v="800"/>
    <n v="43"/>
    <n v="34400"/>
    <n v="34400"/>
    <n v="2022"/>
    <s v="May"/>
    <n v="14"/>
    <s v="Sat"/>
  </r>
  <r>
    <x v="217"/>
    <x v="2"/>
    <s v="Mobiles"/>
    <x v="4"/>
    <n v="100"/>
    <n v="41"/>
    <n v="4100"/>
    <n v="4100"/>
    <n v="2022"/>
    <s v="May"/>
    <n v="18"/>
    <s v="Wed"/>
  </r>
  <r>
    <x v="218"/>
    <x v="0"/>
    <s v="Furniture"/>
    <x v="2"/>
    <n v="13999"/>
    <n v="37"/>
    <n v="517963"/>
    <n v="517963"/>
    <n v="2022"/>
    <s v="May"/>
    <n v="22"/>
    <s v="Sun"/>
  </r>
  <r>
    <x v="219"/>
    <x v="4"/>
    <s v="Laptops"/>
    <x v="3"/>
    <n v="22000"/>
    <n v="45"/>
    <n v="990000"/>
    <n v="990000"/>
    <n v="2022"/>
    <s v="May"/>
    <n v="26"/>
    <s v="Thu"/>
  </r>
  <r>
    <x v="220"/>
    <x v="4"/>
    <s v="Laptops"/>
    <x v="5"/>
    <n v="89999"/>
    <n v="15"/>
    <n v="1349985"/>
    <n v="1349985"/>
    <n v="2022"/>
    <s v="May"/>
    <n v="30"/>
    <s v="Mon"/>
  </r>
  <r>
    <x v="221"/>
    <x v="1"/>
    <s v="4K LED TV's"/>
    <x v="3"/>
    <n v="13999"/>
    <n v="22"/>
    <n v="307978"/>
    <n v="307978"/>
    <n v="2022"/>
    <s v="Jun"/>
    <n v="3"/>
    <s v="Fri"/>
  </r>
  <r>
    <x v="222"/>
    <x v="2"/>
    <s v="Speakers"/>
    <x v="2"/>
    <n v="2900"/>
    <n v="20"/>
    <n v="58000"/>
    <n v="58000"/>
    <n v="2022"/>
    <s v="Jun"/>
    <n v="7"/>
    <s v="Tue"/>
  </r>
  <r>
    <x v="223"/>
    <x v="1"/>
    <s v="Laptops"/>
    <x v="3"/>
    <n v="33000"/>
    <n v="16"/>
    <n v="528000"/>
    <n v="528000"/>
    <n v="2022"/>
    <s v="Jun"/>
    <n v="11"/>
    <s v="Sat"/>
  </r>
  <r>
    <x v="224"/>
    <x v="4"/>
    <s v="4K LED TV's"/>
    <x v="1"/>
    <n v="22000"/>
    <n v="17"/>
    <n v="374000"/>
    <n v="374000"/>
    <n v="2022"/>
    <s v="Jun"/>
    <n v="15"/>
    <s v="Wed"/>
  </r>
  <r>
    <x v="225"/>
    <x v="5"/>
    <s v="Speakers"/>
    <x v="1"/>
    <n v="699"/>
    <n v="50"/>
    <n v="34950"/>
    <n v="34950"/>
    <n v="2022"/>
    <s v="Jun"/>
    <n v="19"/>
    <s v="Sun"/>
  </r>
  <r>
    <x v="226"/>
    <x v="2"/>
    <s v="Laptops"/>
    <x v="2"/>
    <n v="499"/>
    <n v="4"/>
    <n v="1996"/>
    <n v="1996"/>
    <n v="2022"/>
    <s v="Jun"/>
    <n v="23"/>
    <s v="Thu"/>
  </r>
  <r>
    <x v="227"/>
    <x v="5"/>
    <s v="Speakers"/>
    <x v="3"/>
    <n v="590"/>
    <n v="43"/>
    <n v="25370"/>
    <n v="25370"/>
    <n v="2022"/>
    <s v="Jun"/>
    <n v="27"/>
    <s v="Mon"/>
  </r>
  <r>
    <x v="228"/>
    <x v="5"/>
    <s v="Speakers"/>
    <x v="1"/>
    <n v="590"/>
    <n v="42"/>
    <n v="24780"/>
    <n v="24780"/>
    <n v="2022"/>
    <s v="Jul"/>
    <n v="1"/>
    <s v="Fri"/>
  </r>
  <r>
    <x v="229"/>
    <x v="3"/>
    <s v="Mobiles"/>
    <x v="0"/>
    <n v="120"/>
    <n v="9"/>
    <n v="1080"/>
    <n v="1080"/>
    <n v="2022"/>
    <s v="Jul"/>
    <n v="5"/>
    <s v="Tue"/>
  </r>
  <r>
    <x v="230"/>
    <x v="2"/>
    <s v="Laptops"/>
    <x v="5"/>
    <n v="52000"/>
    <n v="40"/>
    <n v="2080000"/>
    <n v="2080000"/>
    <n v="2022"/>
    <s v="Jul"/>
    <n v="9"/>
    <s v="Sat"/>
  </r>
  <r>
    <x v="231"/>
    <x v="4"/>
    <s v="4K LED TV's"/>
    <x v="3"/>
    <n v="7999"/>
    <n v="14"/>
    <n v="111986"/>
    <n v="111986"/>
    <n v="2022"/>
    <s v="Jul"/>
    <n v="13"/>
    <s v="Wed"/>
  </r>
  <r>
    <x v="232"/>
    <x v="2"/>
    <s v="LED TV's"/>
    <x v="4"/>
    <n v="550"/>
    <n v="9"/>
    <n v="4950"/>
    <n v="4950"/>
    <n v="2022"/>
    <s v="Jul"/>
    <n v="17"/>
    <s v="Sun"/>
  </r>
  <r>
    <x v="233"/>
    <x v="4"/>
    <s v="Laptops"/>
    <x v="3"/>
    <n v="79999"/>
    <n v="10"/>
    <n v="799990"/>
    <n v="799990"/>
    <n v="2022"/>
    <s v="Jul"/>
    <n v="21"/>
    <s v="Thu"/>
  </r>
  <r>
    <x v="234"/>
    <x v="1"/>
    <s v="4K LED TV's"/>
    <x v="1"/>
    <n v="1999"/>
    <n v="37"/>
    <n v="73963"/>
    <n v="73963"/>
    <n v="2022"/>
    <s v="Jul"/>
    <n v="25"/>
    <s v="Mon"/>
  </r>
  <r>
    <x v="235"/>
    <x v="2"/>
    <s v="Laptops"/>
    <x v="3"/>
    <n v="89999"/>
    <n v="29"/>
    <n v="2609971"/>
    <n v="2609971"/>
    <n v="2022"/>
    <s v="Jul"/>
    <n v="29"/>
    <s v="Fri"/>
  </r>
  <r>
    <x v="236"/>
    <x v="4"/>
    <s v="Laptops"/>
    <x v="0"/>
    <n v="799"/>
    <n v="44"/>
    <n v="35156"/>
    <n v="35156"/>
    <n v="2022"/>
    <s v="Aug"/>
    <n v="2"/>
    <s v="Tue"/>
  </r>
  <r>
    <x v="237"/>
    <x v="4"/>
    <s v="Laptops"/>
    <x v="5"/>
    <n v="3990"/>
    <n v="31"/>
    <n v="123690"/>
    <n v="123690"/>
    <n v="2022"/>
    <s v="Aug"/>
    <n v="6"/>
    <s v="Sat"/>
  </r>
  <r>
    <x v="238"/>
    <x v="2"/>
    <s v="4K LED TV's"/>
    <x v="2"/>
    <n v="52000"/>
    <n v="29"/>
    <n v="1508000"/>
    <n v="1508000"/>
    <n v="2022"/>
    <s v="Aug"/>
    <n v="10"/>
    <s v="Wed"/>
  </r>
  <r>
    <x v="239"/>
    <x v="0"/>
    <s v="Furniture"/>
    <x v="3"/>
    <n v="13999"/>
    <n v="34"/>
    <n v="475966"/>
    <n v="475966"/>
    <n v="2022"/>
    <s v="Aug"/>
    <n v="14"/>
    <s v="Sun"/>
  </r>
  <r>
    <x v="240"/>
    <x v="2"/>
    <s v="Mobiles"/>
    <x v="2"/>
    <n v="120"/>
    <n v="29"/>
    <n v="3480"/>
    <n v="3480"/>
    <n v="2022"/>
    <s v="Aug"/>
    <n v="18"/>
    <s v="Thu"/>
  </r>
  <r>
    <x v="241"/>
    <x v="4"/>
    <s v="LED TV's"/>
    <x v="0"/>
    <n v="23999"/>
    <n v="25"/>
    <n v="599975"/>
    <n v="599975"/>
    <n v="2022"/>
    <s v="Aug"/>
    <n v="22"/>
    <s v="Mon"/>
  </r>
  <r>
    <x v="242"/>
    <x v="2"/>
    <s v="LED TV's"/>
    <x v="3"/>
    <n v="1250"/>
    <n v="31"/>
    <n v="38750"/>
    <n v="38750"/>
    <n v="2022"/>
    <s v="Aug"/>
    <n v="26"/>
    <s v="Fri"/>
  </r>
  <r>
    <x v="243"/>
    <x v="5"/>
    <s v="4K LED TV's"/>
    <x v="3"/>
    <n v="45000"/>
    <n v="16"/>
    <n v="720000"/>
    <n v="720000"/>
    <n v="2022"/>
    <s v="Aug"/>
    <n v="30"/>
    <s v="Tue"/>
  </r>
  <r>
    <x v="244"/>
    <x v="1"/>
    <s v="Mobiles"/>
    <x v="2"/>
    <n v="120"/>
    <n v="48"/>
    <n v="5760"/>
    <n v="5760"/>
    <n v="2022"/>
    <s v="Sep"/>
    <n v="3"/>
    <s v="Sat"/>
  </r>
  <r>
    <x v="245"/>
    <x v="2"/>
    <s v="4K LED TV's"/>
    <x v="4"/>
    <n v="25600"/>
    <n v="22"/>
    <n v="563200"/>
    <n v="563200"/>
    <n v="2022"/>
    <s v="Sep"/>
    <n v="7"/>
    <s v="Wed"/>
  </r>
  <r>
    <x v="246"/>
    <x v="5"/>
    <s v="Speakers"/>
    <x v="3"/>
    <n v="699"/>
    <n v="6"/>
    <n v="4194"/>
    <n v="4194"/>
    <n v="2022"/>
    <s v="Sep"/>
    <n v="11"/>
    <s v="Sun"/>
  </r>
  <r>
    <x v="247"/>
    <x v="5"/>
    <s v="4K LED TV's"/>
    <x v="2"/>
    <n v="99620"/>
    <n v="12"/>
    <n v="1195440"/>
    <n v="1195440"/>
    <n v="2022"/>
    <s v="Sep"/>
    <n v="15"/>
    <s v="Thu"/>
  </r>
  <r>
    <x v="248"/>
    <x v="2"/>
    <s v="Speakers"/>
    <x v="5"/>
    <n v="450"/>
    <n v="44"/>
    <n v="19800"/>
    <n v="19800"/>
    <n v="2022"/>
    <s v="Sep"/>
    <n v="19"/>
    <s v="Mon"/>
  </r>
  <r>
    <x v="249"/>
    <x v="5"/>
    <s v="Speakers"/>
    <x v="2"/>
    <n v="1499"/>
    <n v="15"/>
    <n v="22485"/>
    <n v="22485"/>
    <n v="2022"/>
    <s v="Sep"/>
    <n v="23"/>
    <s v="Fri"/>
  </r>
  <r>
    <x v="250"/>
    <x v="0"/>
    <s v="4K LED TV's"/>
    <x v="4"/>
    <n v="49500"/>
    <n v="26"/>
    <n v="1287000"/>
    <n v="1287000"/>
    <n v="2022"/>
    <s v="Sep"/>
    <n v="27"/>
    <s v="Tue"/>
  </r>
  <r>
    <x v="251"/>
    <x v="1"/>
    <s v="LED TV's"/>
    <x v="4"/>
    <n v="960"/>
    <n v="16"/>
    <n v="15360"/>
    <n v="15360"/>
    <n v="2022"/>
    <s v="Oct"/>
    <n v="1"/>
    <s v="Sat"/>
  </r>
  <r>
    <x v="252"/>
    <x v="2"/>
    <s v="Furniture"/>
    <x v="3"/>
    <n v="5599"/>
    <n v="35"/>
    <n v="195965"/>
    <n v="195965"/>
    <n v="2022"/>
    <s v="Oct"/>
    <n v="5"/>
    <s v="Wed"/>
  </r>
  <r>
    <x v="253"/>
    <x v="3"/>
    <s v="Mobiles"/>
    <x v="0"/>
    <n v="89"/>
    <n v="36"/>
    <n v="3204"/>
    <n v="3204"/>
    <n v="2022"/>
    <s v="Oct"/>
    <n v="9"/>
    <s v="Sun"/>
  </r>
  <r>
    <x v="254"/>
    <x v="0"/>
    <s v="Furniture"/>
    <x v="5"/>
    <n v="2550"/>
    <n v="20"/>
    <n v="51000"/>
    <n v="51000"/>
    <n v="2022"/>
    <s v="Oct"/>
    <n v="13"/>
    <s v="Thu"/>
  </r>
  <r>
    <x v="255"/>
    <x v="2"/>
    <s v="4K LED TV's"/>
    <x v="0"/>
    <n v="14500"/>
    <n v="47"/>
    <n v="681500"/>
    <n v="681500"/>
    <n v="2022"/>
    <s v="Oct"/>
    <n v="17"/>
    <s v="Mon"/>
  </r>
  <r>
    <x v="256"/>
    <x v="5"/>
    <s v="Speakers"/>
    <x v="3"/>
    <n v="2900"/>
    <n v="6"/>
    <n v="17400"/>
    <n v="17400"/>
    <n v="2022"/>
    <s v="Oct"/>
    <n v="21"/>
    <s v="Fri"/>
  </r>
  <r>
    <x v="257"/>
    <x v="3"/>
    <s v="Mobiles"/>
    <x v="4"/>
    <n v="120"/>
    <n v="6"/>
    <n v="720"/>
    <n v="720"/>
    <n v="2022"/>
    <s v="Oct"/>
    <n v="25"/>
    <s v="Tue"/>
  </r>
  <r>
    <x v="258"/>
    <x v="4"/>
    <s v="4K LED TV's"/>
    <x v="2"/>
    <n v="52000"/>
    <n v="41"/>
    <n v="2132000"/>
    <n v="2132000"/>
    <n v="2022"/>
    <s v="Oct"/>
    <n v="29"/>
    <s v="Sat"/>
  </r>
  <r>
    <x v="259"/>
    <x v="1"/>
    <s v="Speakers"/>
    <x v="1"/>
    <n v="590"/>
    <n v="29"/>
    <n v="17110"/>
    <n v="17110"/>
    <n v="2022"/>
    <s v="Nov"/>
    <n v="2"/>
    <s v="Wed"/>
  </r>
  <r>
    <x v="260"/>
    <x v="4"/>
    <s v="LED TV's"/>
    <x v="4"/>
    <n v="7999"/>
    <n v="31"/>
    <n v="247969"/>
    <n v="247969"/>
    <n v="2022"/>
    <s v="Nov"/>
    <n v="6"/>
    <s v="Sun"/>
  </r>
  <r>
    <x v="261"/>
    <x v="2"/>
    <s v="Mobiles"/>
    <x v="1"/>
    <n v="999"/>
    <n v="34"/>
    <n v="33966"/>
    <n v="33966"/>
    <n v="2022"/>
    <s v="Nov"/>
    <n v="10"/>
    <s v="Thu"/>
  </r>
  <r>
    <x v="262"/>
    <x v="5"/>
    <s v="4K LED TV's"/>
    <x v="2"/>
    <n v="990"/>
    <n v="43"/>
    <n v="42570"/>
    <n v="42570"/>
    <n v="2022"/>
    <s v="Nov"/>
    <n v="14"/>
    <s v="Mon"/>
  </r>
  <r>
    <x v="263"/>
    <x v="2"/>
    <s v="Laptops"/>
    <x v="0"/>
    <n v="11999"/>
    <n v="37"/>
    <n v="443963"/>
    <n v="443963"/>
    <n v="2022"/>
    <s v="Nov"/>
    <n v="18"/>
    <s v="Fri"/>
  </r>
  <r>
    <x v="264"/>
    <x v="1"/>
    <s v="LED TV's"/>
    <x v="0"/>
    <n v="960"/>
    <n v="7"/>
    <n v="6720"/>
    <n v="6720"/>
    <n v="2022"/>
    <s v="Nov"/>
    <n v="22"/>
    <s v="Tue"/>
  </r>
  <r>
    <x v="265"/>
    <x v="0"/>
    <s v="Furniture"/>
    <x v="2"/>
    <n v="1450"/>
    <n v="19"/>
    <n v="27550"/>
    <n v="27550"/>
    <n v="2022"/>
    <s v="Nov"/>
    <n v="26"/>
    <s v="Sat"/>
  </r>
  <r>
    <x v="266"/>
    <x v="5"/>
    <s v="Speakers"/>
    <x v="1"/>
    <n v="450"/>
    <n v="47"/>
    <n v="21150"/>
    <n v="21150"/>
    <n v="2022"/>
    <s v="Nov"/>
    <n v="30"/>
    <s v="Wed"/>
  </r>
  <r>
    <x v="267"/>
    <x v="2"/>
    <s v="4K LED TV's"/>
    <x v="1"/>
    <n v="1499"/>
    <n v="37"/>
    <n v="55463"/>
    <n v="55463"/>
    <n v="2022"/>
    <s v="Dec"/>
    <n v="4"/>
    <s v="Sun"/>
  </r>
  <r>
    <x v="268"/>
    <x v="4"/>
    <s v="Laptops"/>
    <x v="1"/>
    <n v="79999"/>
    <n v="4"/>
    <n v="319996"/>
    <n v="319996"/>
    <n v="2022"/>
    <s v="Dec"/>
    <n v="8"/>
    <s v="Thu"/>
  </r>
  <r>
    <x v="269"/>
    <x v="2"/>
    <s v="Mobiles"/>
    <x v="4"/>
    <n v="999"/>
    <n v="45"/>
    <n v="44955"/>
    <n v="44955"/>
    <n v="2022"/>
    <s v="Dec"/>
    <n v="12"/>
    <s v="Mon"/>
  </r>
  <r>
    <x v="270"/>
    <x v="4"/>
    <s v="Laptops"/>
    <x v="0"/>
    <n v="52000"/>
    <n v="15"/>
    <n v="780000"/>
    <n v="780000"/>
    <n v="2022"/>
    <s v="Dec"/>
    <n v="16"/>
    <s v="Fri"/>
  </r>
  <r>
    <x v="271"/>
    <x v="1"/>
    <s v="Laptops"/>
    <x v="3"/>
    <n v="52000"/>
    <n v="39"/>
    <n v="2028000"/>
    <n v="2028000"/>
    <n v="2022"/>
    <s v="Dec"/>
    <n v="20"/>
    <s v="Tue"/>
  </r>
  <r>
    <x v="272"/>
    <x v="2"/>
    <s v="LED TV's"/>
    <x v="3"/>
    <n v="960"/>
    <n v="33"/>
    <n v="31680"/>
    <n v="31680"/>
    <n v="2022"/>
    <s v="Dec"/>
    <n v="24"/>
    <s v="Sat"/>
  </r>
  <r>
    <x v="273"/>
    <x v="4"/>
    <s v="LED TV's"/>
    <x v="2"/>
    <n v="1450"/>
    <n v="34"/>
    <n v="49300"/>
    <n v="49300"/>
    <n v="2022"/>
    <s v="Dec"/>
    <n v="28"/>
    <s v="Wed"/>
  </r>
  <r>
    <x v="274"/>
    <x v="5"/>
    <s v="Speakers"/>
    <x v="5"/>
    <n v="2500"/>
    <n v="100"/>
    <n v="250000"/>
    <n v="250000"/>
    <n v="2022"/>
    <s v="Dec"/>
    <n v="18"/>
    <s v="Sun"/>
  </r>
  <r>
    <x v="275"/>
    <x v="1"/>
    <s v="4K LED TV's"/>
    <x v="5"/>
    <n v="86540"/>
    <n v="6"/>
    <n v="519240"/>
    <n v="519240"/>
    <n v="2022"/>
    <s v="Dec"/>
    <n v="22"/>
    <s v="Thu"/>
  </r>
  <r>
    <x v="276"/>
    <x v="3"/>
    <s v="Mobiles"/>
    <x v="5"/>
    <n v="550"/>
    <n v="44"/>
    <n v="24200"/>
    <n v="24200"/>
    <n v="2022"/>
    <s v="Dec"/>
    <n v="27"/>
    <s v="Tue"/>
  </r>
  <r>
    <x v="277"/>
    <x v="2"/>
    <s v="Laptops"/>
    <x v="5"/>
    <n v="65400"/>
    <n v="19"/>
    <n v="1242600"/>
    <n v="1242600"/>
    <n v="2022"/>
    <s v="Dec"/>
    <n v="30"/>
    <s v="Fr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D900AA-E535-4E2D-B24C-E338CAD6B216}" name="PivotTable2"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10" firstHeaderRow="1" firstDataRow="1" firstDataCol="1"/>
  <pivotFields count="12">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items count="7">
        <item x="4"/>
        <item x="2"/>
        <item x="1"/>
        <item x="3"/>
        <item x="5"/>
        <item x="0"/>
        <item t="default"/>
      </items>
    </pivotField>
    <pivotField showAll="0"/>
    <pivotField showAll="0">
      <items count="7">
        <item x="2"/>
        <item h="1" x="4"/>
        <item h="1" x="0"/>
        <item h="1" x="5"/>
        <item h="1" x="3"/>
        <item h="1" x="1"/>
        <item t="default"/>
      </items>
    </pivotField>
    <pivotField showAll="0"/>
    <pivotField showAll="0"/>
    <pivotField showAll="0"/>
    <pivotField dataField="1" showAll="0"/>
    <pivotField showAll="0"/>
    <pivotField showAll="0"/>
    <pivotField showAll="0"/>
    <pivotField showAll="0"/>
  </pivotFields>
  <rowFields count="1">
    <field x="1"/>
  </rowFields>
  <rowItems count="7">
    <i>
      <x/>
    </i>
    <i>
      <x v="1"/>
    </i>
    <i>
      <x v="2"/>
    </i>
    <i>
      <x v="3"/>
    </i>
    <i>
      <x v="4"/>
    </i>
    <i>
      <x v="5"/>
    </i>
    <i t="grand">
      <x/>
    </i>
  </rowItems>
  <colItems count="1">
    <i/>
  </colItems>
  <dataFields count="1">
    <dataField name="Sum of Total_Amount" fld="7"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D5F514-A4B3-4F58-B02A-2E2266E898FA}"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7">
    <pivotField numFmtId="14" showAll="0"/>
    <pivotField axis="axisRow" showAll="0" sortType="ascending">
      <items count="7">
        <item x="4"/>
        <item x="2"/>
        <item x="1"/>
        <item x="3"/>
        <item x="5"/>
        <item x="0"/>
        <item t="default"/>
      </items>
    </pivotField>
    <pivotField showAll="0"/>
    <pivotField showAll="0"/>
    <pivotField showAll="0"/>
    <pivotField showAll="0"/>
    <pivotField dataField="1" showAll="0"/>
  </pivotFields>
  <rowFields count="1">
    <field x="1"/>
  </rowFields>
  <rowItems count="7">
    <i>
      <x/>
    </i>
    <i>
      <x v="1"/>
    </i>
    <i>
      <x v="2"/>
    </i>
    <i>
      <x v="3"/>
    </i>
    <i>
      <x v="4"/>
    </i>
    <i>
      <x v="5"/>
    </i>
    <i t="grand">
      <x/>
    </i>
  </rowItems>
  <colItems count="1">
    <i/>
  </colItems>
  <dataFields count="1">
    <dataField name="Sum of Sales"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815233BA-81FD-4935-809C-21D0D59C28AF}" sourceName="Place">
  <pivotTables>
    <pivotTable tabId="4" name="PivotTable2"/>
  </pivotTables>
  <data>
    <tabular pivotCacheId="709151201">
      <items count="6">
        <i x="2" s="1"/>
        <i x="4"/>
        <i x="0"/>
        <i x="5"/>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xr10:uid="{691E4932-5EA8-4BD5-9A8E-AECD88FAA8F7}" cache="Slicer_Place" caption="Plac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1" xr10:uid="{1ECF7EEA-020A-4479-8E04-0D32B79C3C09}" cache="Slicer_Place" caption="Plac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AB4DC8-560D-49C0-B45D-E2D59D33969B}" name="Table1" displayName="Table1" ref="A1:L279" totalsRowShown="0" headerRowDxfId="5" headerRowBorderDxfId="14" tableBorderDxfId="15" totalsRowBorderDxfId="13">
  <autoFilter ref="A1:L279" xr:uid="{78AB4DC8-560D-49C0-B45D-E2D59D33969B}"/>
  <tableColumns count="12">
    <tableColumn id="1" xr3:uid="{DAE3650C-B389-49A1-9B02-4719473F3E1C}" name="Date" dataDxfId="12"/>
    <tableColumn id="2" xr3:uid="{B0271A39-ED08-4219-B2A6-BFE7F3676BAE}" name="Sales Persons" dataDxfId="11"/>
    <tableColumn id="3" xr3:uid="{1F668C4E-3BBC-43FA-8B0B-CE62C8B17735}" name="Products" dataDxfId="10"/>
    <tableColumn id="4" xr3:uid="{8896AD76-46B0-49CC-9F98-D265D02601DA}" name="Place" dataDxfId="9"/>
    <tableColumn id="5" xr3:uid="{2E7C1C13-46F1-4F9D-9B99-C96ACFF6BE4C}" name="Price" dataDxfId="8"/>
    <tableColumn id="6" xr3:uid="{E54508F4-F9CF-4B4B-9925-7CDD164AF304}" name="Units" dataDxfId="7"/>
    <tableColumn id="7" xr3:uid="{7D438A27-C882-4BE6-9584-803146A6CFA9}" name="Sales" dataDxfId="6"/>
    <tableColumn id="8" xr3:uid="{94C3418B-EBE1-489E-BBF5-CB8E1B70F8C6}" name="Total_Amount" dataDxfId="4">
      <calculatedColumnFormula>Table1[[#This Row],[Price]]*Table1[[#This Row],[Units]]</calculatedColumnFormula>
    </tableColumn>
    <tableColumn id="9" xr3:uid="{814D35BC-3214-478E-83B0-EE4174AB2B83}" name="Year" dataDxfId="3">
      <calculatedColumnFormula>YEAR(Table1[[#This Row],[Date]])</calculatedColumnFormula>
    </tableColumn>
    <tableColumn id="10" xr3:uid="{DE40F14A-020D-427F-98FC-BAF40526D479}" name="Month" dataDxfId="2">
      <calculatedColumnFormula>TEXT(Table1[[#This Row],[Date]],"MMM")</calculatedColumnFormula>
    </tableColumn>
    <tableColumn id="11" xr3:uid="{B9707A94-44A1-4E4D-8E81-E6AF7E01445A}" name="DAY" dataDxfId="1">
      <calculatedColumnFormula>DAY(Table1[[#This Row],[Date]])</calculatedColumnFormula>
    </tableColumn>
    <tableColumn id="12" xr3:uid="{29FEF38E-7F54-4013-B9DB-098F3844B71C}" name="Day Name" dataDxfId="0">
      <calculatedColumnFormula>TEXT(Table1[[#This Row],[Date]],"ddd")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ACB7D3D-B6BF-4764-8F1C-8B88DE3B227F}" sourceName="Date">
  <pivotTables>
    <pivotTable tabId="4" name="PivotTable2"/>
  </pivotTables>
  <state minimalRefreshVersion="6" lastRefreshVersion="6" pivotCacheId="709151201"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E63456B-D450-447C-97B1-57E3F576F3B0}" cache="NativeTimeline_Date" caption="Date" level="2" selectionLevel="2" scrollPosition="2022-06-06T00:00:00" style="TimeSlicerStyleLight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C52BEFE-2836-42E7-A665-6FB4BEEE5504}" cache="NativeTimeline_Date" caption="Date" level="2" selectionLevel="2" scrollPosition="2022-06-06T00:00:00" style="TimeSlicerStyleLight2"/>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D140A-5B6C-468A-B10C-60065F549C68}">
  <dimension ref="A3:B10"/>
  <sheetViews>
    <sheetView workbookViewId="0">
      <selection activeCell="B6" sqref="B6"/>
    </sheetView>
  </sheetViews>
  <sheetFormatPr defaultRowHeight="14.4" x14ac:dyDescent="0.3"/>
  <cols>
    <col min="1" max="1" width="12.5546875" bestFit="1" customWidth="1"/>
    <col min="2" max="2" width="19.77734375" bestFit="1" customWidth="1"/>
  </cols>
  <sheetData>
    <row r="3" spans="1:2" x14ac:dyDescent="0.3">
      <c r="A3" s="6" t="s">
        <v>25</v>
      </c>
      <c r="B3" t="s">
        <v>33</v>
      </c>
    </row>
    <row r="4" spans="1:2" x14ac:dyDescent="0.3">
      <c r="A4" s="7" t="s">
        <v>18</v>
      </c>
      <c r="B4" s="8">
        <v>9154972</v>
      </c>
    </row>
    <row r="5" spans="1:2" x14ac:dyDescent="0.3">
      <c r="A5" s="7" t="s">
        <v>11</v>
      </c>
      <c r="B5" s="8">
        <v>1854633</v>
      </c>
    </row>
    <row r="6" spans="1:2" x14ac:dyDescent="0.3">
      <c r="A6" s="7" t="s">
        <v>9</v>
      </c>
      <c r="B6" s="8">
        <v>1812073</v>
      </c>
    </row>
    <row r="7" spans="1:2" x14ac:dyDescent="0.3">
      <c r="A7" s="7" t="s">
        <v>14</v>
      </c>
      <c r="B7" s="8">
        <v>449672</v>
      </c>
    </row>
    <row r="8" spans="1:2" x14ac:dyDescent="0.3">
      <c r="A8" s="7" t="s">
        <v>22</v>
      </c>
      <c r="B8" s="8">
        <v>1754823</v>
      </c>
    </row>
    <row r="9" spans="1:2" x14ac:dyDescent="0.3">
      <c r="A9" s="7" t="s">
        <v>6</v>
      </c>
      <c r="B9" s="8">
        <v>1026512</v>
      </c>
    </row>
    <row r="10" spans="1:2" x14ac:dyDescent="0.3">
      <c r="A10" s="7" t="s">
        <v>26</v>
      </c>
      <c r="B10" s="8">
        <v>16052685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158CB-97A6-421E-AC70-A7E8EF651C7C}">
  <dimension ref="A1"/>
  <sheetViews>
    <sheetView tabSelected="1" workbookViewId="0">
      <selection activeCell="K3" sqref="K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E5097-4918-45A6-A910-41046D9E5BB3}">
  <dimension ref="A1:L279"/>
  <sheetViews>
    <sheetView workbookViewId="0">
      <selection activeCell="L3" sqref="L3"/>
    </sheetView>
  </sheetViews>
  <sheetFormatPr defaultRowHeight="14.4" x14ac:dyDescent="0.3"/>
  <cols>
    <col min="1" max="1" width="10.109375" style="3" bestFit="1" customWidth="1"/>
    <col min="2" max="2" width="14.109375" customWidth="1"/>
    <col min="3" max="3" width="10.33203125" customWidth="1"/>
  </cols>
  <sheetData>
    <row r="1" spans="1:12" x14ac:dyDescent="0.3">
      <c r="A1" s="11" t="s">
        <v>0</v>
      </c>
      <c r="B1" s="12" t="s">
        <v>1</v>
      </c>
      <c r="C1" s="12" t="s">
        <v>2</v>
      </c>
      <c r="D1" s="12" t="s">
        <v>3</v>
      </c>
      <c r="E1" s="12" t="s">
        <v>4</v>
      </c>
      <c r="F1" s="12" t="s">
        <v>5</v>
      </c>
      <c r="G1" s="13" t="s">
        <v>24</v>
      </c>
      <c r="H1" s="12" t="s">
        <v>28</v>
      </c>
      <c r="I1" s="12" t="s">
        <v>29</v>
      </c>
      <c r="J1" s="12" t="s">
        <v>30</v>
      </c>
      <c r="K1" s="12" t="s">
        <v>31</v>
      </c>
      <c r="L1" s="12" t="s">
        <v>32</v>
      </c>
    </row>
    <row r="2" spans="1:12" x14ac:dyDescent="0.3">
      <c r="A2" s="9">
        <v>43831</v>
      </c>
      <c r="B2" s="1" t="s">
        <v>6</v>
      </c>
      <c r="C2" s="1" t="s">
        <v>7</v>
      </c>
      <c r="D2" s="1" t="s">
        <v>8</v>
      </c>
      <c r="E2" s="1">
        <v>499</v>
      </c>
      <c r="F2" s="1">
        <v>50</v>
      </c>
      <c r="G2" s="10">
        <v>24950</v>
      </c>
      <c r="H2" s="17">
        <f>Table1[[#This Row],[Price]]*Table1[[#This Row],[Units]]</f>
        <v>24950</v>
      </c>
      <c r="I2" s="17">
        <f>YEAR(Table1[[#This Row],[Date]])</f>
        <v>2020</v>
      </c>
      <c r="J2" t="str">
        <f>TEXT(Table1[[#This Row],[Date]],"MMM")</f>
        <v>Jan</v>
      </c>
      <c r="K2">
        <f>DAY(Table1[[#This Row],[Date]])</f>
        <v>1</v>
      </c>
      <c r="L2" t="str">
        <f>TEXT(Table1[[#This Row],[Date]],"ddd")</f>
        <v>Wed</v>
      </c>
    </row>
    <row r="3" spans="1:12" x14ac:dyDescent="0.3">
      <c r="A3" s="9">
        <v>43835</v>
      </c>
      <c r="B3" s="1" t="s">
        <v>9</v>
      </c>
      <c r="C3" s="1" t="s">
        <v>7</v>
      </c>
      <c r="D3" s="1" t="s">
        <v>10</v>
      </c>
      <c r="E3" s="1">
        <v>5599</v>
      </c>
      <c r="F3" s="1">
        <v>33</v>
      </c>
      <c r="G3" s="10">
        <v>184767</v>
      </c>
      <c r="H3" s="1">
        <f>Table1[[#This Row],[Price]]*Table1[[#This Row],[Units]]</f>
        <v>184767</v>
      </c>
      <c r="I3" s="1">
        <f>YEAR(Table1[[#This Row],[Date]])</f>
        <v>2020</v>
      </c>
      <c r="J3" t="str">
        <f>TEXT(Table1[[#This Row],[Date]],"MMM")</f>
        <v>Jan</v>
      </c>
      <c r="K3">
        <f>DAY(Table1[[#This Row],[Date]])</f>
        <v>5</v>
      </c>
      <c r="L3" t="str">
        <f>TEXT(Table1[[#This Row],[Date]],"ddd")</f>
        <v>Sun</v>
      </c>
    </row>
    <row r="4" spans="1:12" x14ac:dyDescent="0.3">
      <c r="A4" s="9">
        <v>43839</v>
      </c>
      <c r="B4" s="1" t="s">
        <v>11</v>
      </c>
      <c r="C4" s="1" t="s">
        <v>12</v>
      </c>
      <c r="D4" s="1" t="s">
        <v>13</v>
      </c>
      <c r="E4" s="1">
        <v>1450</v>
      </c>
      <c r="F4" s="1">
        <v>44</v>
      </c>
      <c r="G4" s="10">
        <v>63800</v>
      </c>
      <c r="H4" s="1">
        <f>Table1[[#This Row],[Price]]*Table1[[#This Row],[Units]]</f>
        <v>63800</v>
      </c>
      <c r="I4" s="1">
        <f>YEAR(Table1[[#This Row],[Date]])</f>
        <v>2020</v>
      </c>
      <c r="J4" t="str">
        <f>TEXT(Table1[[#This Row],[Date]],"MMM")</f>
        <v>Jan</v>
      </c>
      <c r="K4">
        <f>DAY(Table1[[#This Row],[Date]])</f>
        <v>9</v>
      </c>
      <c r="L4" t="str">
        <f>TEXT(Table1[[#This Row],[Date]],"ddd")</f>
        <v>Thu</v>
      </c>
    </row>
    <row r="5" spans="1:12" x14ac:dyDescent="0.3">
      <c r="A5" s="9">
        <v>43843</v>
      </c>
      <c r="B5" s="1" t="s">
        <v>14</v>
      </c>
      <c r="C5" s="1" t="s">
        <v>15</v>
      </c>
      <c r="D5" s="1" t="s">
        <v>8</v>
      </c>
      <c r="E5" s="1">
        <v>85000</v>
      </c>
      <c r="F5" s="1">
        <v>50</v>
      </c>
      <c r="G5" s="10">
        <v>4250000</v>
      </c>
      <c r="H5" s="1">
        <f>Table1[[#This Row],[Price]]*Table1[[#This Row],[Units]]</f>
        <v>4250000</v>
      </c>
      <c r="I5" s="1">
        <f>YEAR(Table1[[#This Row],[Date]])</f>
        <v>2020</v>
      </c>
      <c r="J5" t="str">
        <f>TEXT(Table1[[#This Row],[Date]],"MMM")</f>
        <v>Jan</v>
      </c>
      <c r="K5">
        <f>DAY(Table1[[#This Row],[Date]])</f>
        <v>13</v>
      </c>
      <c r="L5" t="str">
        <f>TEXT(Table1[[#This Row],[Date]],"ddd")</f>
        <v>Mon</v>
      </c>
    </row>
    <row r="6" spans="1:12" x14ac:dyDescent="0.3">
      <c r="A6" s="9">
        <v>43847</v>
      </c>
      <c r="B6" s="1" t="s">
        <v>14</v>
      </c>
      <c r="C6" s="1" t="s">
        <v>16</v>
      </c>
      <c r="D6" s="1" t="s">
        <v>17</v>
      </c>
      <c r="E6" s="1">
        <v>15000</v>
      </c>
      <c r="F6" s="1">
        <v>11</v>
      </c>
      <c r="G6" s="10">
        <v>165000</v>
      </c>
      <c r="H6" s="1">
        <f>Table1[[#This Row],[Price]]*Table1[[#This Row],[Units]]</f>
        <v>165000</v>
      </c>
      <c r="I6" s="1">
        <f>YEAR(Table1[[#This Row],[Date]])</f>
        <v>2020</v>
      </c>
      <c r="J6" t="str">
        <f>TEXT(Table1[[#This Row],[Date]],"MMM")</f>
        <v>Jan</v>
      </c>
      <c r="K6">
        <f>DAY(Table1[[#This Row],[Date]])</f>
        <v>17</v>
      </c>
      <c r="L6" t="str">
        <f>TEXT(Table1[[#This Row],[Date]],"ddd")</f>
        <v>Fri</v>
      </c>
    </row>
    <row r="7" spans="1:12" x14ac:dyDescent="0.3">
      <c r="A7" s="9">
        <v>43851</v>
      </c>
      <c r="B7" s="1" t="s">
        <v>9</v>
      </c>
      <c r="C7" s="1" t="s">
        <v>7</v>
      </c>
      <c r="D7" s="1" t="s">
        <v>17</v>
      </c>
      <c r="E7" s="1">
        <v>2550</v>
      </c>
      <c r="F7" s="1">
        <v>48</v>
      </c>
      <c r="G7" s="10">
        <v>122400</v>
      </c>
      <c r="H7" s="1">
        <f>Table1[[#This Row],[Price]]*Table1[[#This Row],[Units]]</f>
        <v>122400</v>
      </c>
      <c r="I7" s="1">
        <f>YEAR(Table1[[#This Row],[Date]])</f>
        <v>2020</v>
      </c>
      <c r="J7" t="str">
        <f>TEXT(Table1[[#This Row],[Date]],"MMM")</f>
        <v>Jan</v>
      </c>
      <c r="K7">
        <f>DAY(Table1[[#This Row],[Date]])</f>
        <v>21</v>
      </c>
      <c r="L7" t="str">
        <f>TEXT(Table1[[#This Row],[Date]],"ddd")</f>
        <v>Tue</v>
      </c>
    </row>
    <row r="8" spans="1:12" x14ac:dyDescent="0.3">
      <c r="A8" s="9">
        <v>43855</v>
      </c>
      <c r="B8" s="1" t="s">
        <v>18</v>
      </c>
      <c r="C8" s="1" t="s">
        <v>19</v>
      </c>
      <c r="D8" s="1" t="s">
        <v>13</v>
      </c>
      <c r="E8" s="1">
        <v>33000</v>
      </c>
      <c r="F8" s="1">
        <v>26</v>
      </c>
      <c r="G8" s="10">
        <v>858000</v>
      </c>
      <c r="H8" s="1">
        <f>Table1[[#This Row],[Price]]*Table1[[#This Row],[Units]]</f>
        <v>858000</v>
      </c>
      <c r="I8" s="1">
        <f>YEAR(Table1[[#This Row],[Date]])</f>
        <v>2020</v>
      </c>
      <c r="J8" t="str">
        <f>TEXT(Table1[[#This Row],[Date]],"MMM")</f>
        <v>Jan</v>
      </c>
      <c r="K8">
        <f>DAY(Table1[[#This Row],[Date]])</f>
        <v>25</v>
      </c>
      <c r="L8" t="str">
        <f>TEXT(Table1[[#This Row],[Date]],"ddd")</f>
        <v>Sat</v>
      </c>
    </row>
    <row r="9" spans="1:12" x14ac:dyDescent="0.3">
      <c r="A9" s="9">
        <v>43859</v>
      </c>
      <c r="B9" s="1" t="s">
        <v>6</v>
      </c>
      <c r="C9" s="1" t="s">
        <v>15</v>
      </c>
      <c r="D9" s="1" t="s">
        <v>20</v>
      </c>
      <c r="E9" s="1">
        <v>86000</v>
      </c>
      <c r="F9" s="1">
        <v>39</v>
      </c>
      <c r="G9" s="10">
        <v>3354000</v>
      </c>
      <c r="H9" s="1">
        <f>Table1[[#This Row],[Price]]*Table1[[#This Row],[Units]]</f>
        <v>3354000</v>
      </c>
      <c r="I9" s="1">
        <f>YEAR(Table1[[#This Row],[Date]])</f>
        <v>2020</v>
      </c>
      <c r="J9" t="str">
        <f>TEXT(Table1[[#This Row],[Date]],"MMM")</f>
        <v>Jan</v>
      </c>
      <c r="K9">
        <f>DAY(Table1[[#This Row],[Date]])</f>
        <v>29</v>
      </c>
      <c r="L9" t="str">
        <f>TEXT(Table1[[#This Row],[Date]],"ddd")</f>
        <v>Wed</v>
      </c>
    </row>
    <row r="10" spans="1:12" x14ac:dyDescent="0.3">
      <c r="A10" s="9">
        <v>43863</v>
      </c>
      <c r="B10" s="1" t="s">
        <v>11</v>
      </c>
      <c r="C10" s="1" t="s">
        <v>21</v>
      </c>
      <c r="D10" s="1" t="s">
        <v>17</v>
      </c>
      <c r="E10" s="1">
        <v>990</v>
      </c>
      <c r="F10" s="1">
        <v>9</v>
      </c>
      <c r="G10" s="10">
        <v>8910</v>
      </c>
      <c r="H10" s="1">
        <f>Table1[[#This Row],[Price]]*Table1[[#This Row],[Units]]</f>
        <v>8910</v>
      </c>
      <c r="I10" s="1">
        <f>YEAR(Table1[[#This Row],[Date]])</f>
        <v>2020</v>
      </c>
      <c r="J10" t="str">
        <f>TEXT(Table1[[#This Row],[Date]],"MMM")</f>
        <v>Feb</v>
      </c>
      <c r="K10">
        <f>DAY(Table1[[#This Row],[Date]])</f>
        <v>2</v>
      </c>
      <c r="L10" t="str">
        <f>TEXT(Table1[[#This Row],[Date]],"ddd")</f>
        <v>Sun</v>
      </c>
    </row>
    <row r="11" spans="1:12" x14ac:dyDescent="0.3">
      <c r="A11" s="9">
        <v>43867</v>
      </c>
      <c r="B11" s="1" t="s">
        <v>6</v>
      </c>
      <c r="C11" s="1" t="s">
        <v>7</v>
      </c>
      <c r="D11" s="1" t="s">
        <v>8</v>
      </c>
      <c r="E11" s="1">
        <v>5599</v>
      </c>
      <c r="F11" s="1">
        <v>41</v>
      </c>
      <c r="G11" s="10">
        <v>229559</v>
      </c>
      <c r="H11" s="1">
        <f>Table1[[#This Row],[Price]]*Table1[[#This Row],[Units]]</f>
        <v>229559</v>
      </c>
      <c r="I11" s="1">
        <f>YEAR(Table1[[#This Row],[Date]])</f>
        <v>2020</v>
      </c>
      <c r="J11" t="str">
        <f>TEXT(Table1[[#This Row],[Date]],"MMM")</f>
        <v>Feb</v>
      </c>
      <c r="K11">
        <f>DAY(Table1[[#This Row],[Date]])</f>
        <v>6</v>
      </c>
      <c r="L11" t="str">
        <f>TEXT(Table1[[#This Row],[Date]],"ddd")</f>
        <v>Thu</v>
      </c>
    </row>
    <row r="12" spans="1:12" x14ac:dyDescent="0.3">
      <c r="A12" s="9">
        <v>43871</v>
      </c>
      <c r="B12" s="1" t="s">
        <v>18</v>
      </c>
      <c r="C12" s="1" t="s">
        <v>19</v>
      </c>
      <c r="D12" s="1" t="s">
        <v>13</v>
      </c>
      <c r="E12" s="1">
        <v>499</v>
      </c>
      <c r="F12" s="1">
        <v>39</v>
      </c>
      <c r="G12" s="10">
        <v>19461</v>
      </c>
      <c r="H12" s="1">
        <f>Table1[[#This Row],[Price]]*Table1[[#This Row],[Units]]</f>
        <v>19461</v>
      </c>
      <c r="I12" s="1">
        <f>YEAR(Table1[[#This Row],[Date]])</f>
        <v>2020</v>
      </c>
      <c r="J12" t="str">
        <f>TEXT(Table1[[#This Row],[Date]],"MMM")</f>
        <v>Feb</v>
      </c>
      <c r="K12">
        <f>DAY(Table1[[#This Row],[Date]])</f>
        <v>10</v>
      </c>
      <c r="L12" t="str">
        <f>TEXT(Table1[[#This Row],[Date]],"ddd")</f>
        <v>Mon</v>
      </c>
    </row>
    <row r="13" spans="1:12" x14ac:dyDescent="0.3">
      <c r="A13" s="9">
        <v>43875</v>
      </c>
      <c r="B13" s="1" t="s">
        <v>9</v>
      </c>
      <c r="C13" s="1" t="s">
        <v>21</v>
      </c>
      <c r="D13" s="1" t="s">
        <v>8</v>
      </c>
      <c r="E13" s="1">
        <v>1999</v>
      </c>
      <c r="F13" s="1">
        <v>4</v>
      </c>
      <c r="G13" s="10">
        <v>7996</v>
      </c>
      <c r="H13" s="1">
        <f>Table1[[#This Row],[Price]]*Table1[[#This Row],[Units]]</f>
        <v>7996</v>
      </c>
      <c r="I13" s="1">
        <f>YEAR(Table1[[#This Row],[Date]])</f>
        <v>2020</v>
      </c>
      <c r="J13" t="str">
        <f>TEXT(Table1[[#This Row],[Date]],"MMM")</f>
        <v>Feb</v>
      </c>
      <c r="K13">
        <f>DAY(Table1[[#This Row],[Date]])</f>
        <v>14</v>
      </c>
      <c r="L13" t="str">
        <f>TEXT(Table1[[#This Row],[Date]],"ddd")</f>
        <v>Fri</v>
      </c>
    </row>
    <row r="14" spans="1:12" x14ac:dyDescent="0.3">
      <c r="A14" s="9">
        <v>43879</v>
      </c>
      <c r="B14" s="1" t="s">
        <v>14</v>
      </c>
      <c r="C14" s="1" t="s">
        <v>15</v>
      </c>
      <c r="D14" s="1" t="s">
        <v>8</v>
      </c>
      <c r="E14" s="1">
        <v>63400</v>
      </c>
      <c r="F14" s="1">
        <v>8</v>
      </c>
      <c r="G14" s="10">
        <v>507200</v>
      </c>
      <c r="H14" s="1">
        <f>Table1[[#This Row],[Price]]*Table1[[#This Row],[Units]]</f>
        <v>507200</v>
      </c>
      <c r="I14" s="1">
        <f>YEAR(Table1[[#This Row],[Date]])</f>
        <v>2020</v>
      </c>
      <c r="J14" t="str">
        <f>TEXT(Table1[[#This Row],[Date]],"MMM")</f>
        <v>Feb</v>
      </c>
      <c r="K14">
        <f>DAY(Table1[[#This Row],[Date]])</f>
        <v>18</v>
      </c>
      <c r="L14" t="str">
        <f>TEXT(Table1[[#This Row],[Date]],"ddd")</f>
        <v>Tue</v>
      </c>
    </row>
    <row r="15" spans="1:12" x14ac:dyDescent="0.3">
      <c r="A15" s="9">
        <v>43883</v>
      </c>
      <c r="B15" s="1" t="s">
        <v>22</v>
      </c>
      <c r="C15" s="1" t="s">
        <v>21</v>
      </c>
      <c r="D15" s="1" t="s">
        <v>17</v>
      </c>
      <c r="E15" s="1">
        <v>1499</v>
      </c>
      <c r="F15" s="1">
        <v>27</v>
      </c>
      <c r="G15" s="10">
        <v>40473</v>
      </c>
      <c r="H15" s="1">
        <f>Table1[[#This Row],[Price]]*Table1[[#This Row],[Units]]</f>
        <v>40473</v>
      </c>
      <c r="I15" s="1">
        <f>YEAR(Table1[[#This Row],[Date]])</f>
        <v>2020</v>
      </c>
      <c r="J15" t="str">
        <f>TEXT(Table1[[#This Row],[Date]],"MMM")</f>
        <v>Feb</v>
      </c>
      <c r="K15">
        <f>DAY(Table1[[#This Row],[Date]])</f>
        <v>22</v>
      </c>
      <c r="L15" t="str">
        <f>TEXT(Table1[[#This Row],[Date]],"ddd")</f>
        <v>Sat</v>
      </c>
    </row>
    <row r="16" spans="1:12" x14ac:dyDescent="0.3">
      <c r="A16" s="9">
        <v>43887</v>
      </c>
      <c r="B16" s="1" t="s">
        <v>14</v>
      </c>
      <c r="C16" s="1" t="s">
        <v>16</v>
      </c>
      <c r="D16" s="1" t="s">
        <v>13</v>
      </c>
      <c r="E16" s="1">
        <v>120</v>
      </c>
      <c r="F16" s="1">
        <v>10</v>
      </c>
      <c r="G16" s="10">
        <v>1200</v>
      </c>
      <c r="H16" s="1">
        <f>Table1[[#This Row],[Price]]*Table1[[#This Row],[Units]]</f>
        <v>1200</v>
      </c>
      <c r="I16" s="1">
        <f>YEAR(Table1[[#This Row],[Date]])</f>
        <v>2020</v>
      </c>
      <c r="J16" t="str">
        <f>TEXT(Table1[[#This Row],[Date]],"MMM")</f>
        <v>Feb</v>
      </c>
      <c r="K16">
        <f>DAY(Table1[[#This Row],[Date]])</f>
        <v>26</v>
      </c>
      <c r="L16" t="str">
        <f>TEXT(Table1[[#This Row],[Date]],"ddd")</f>
        <v>Wed</v>
      </c>
    </row>
    <row r="17" spans="1:12" x14ac:dyDescent="0.3">
      <c r="A17" s="9">
        <v>43891</v>
      </c>
      <c r="B17" s="1" t="s">
        <v>9</v>
      </c>
      <c r="C17" s="1" t="s">
        <v>19</v>
      </c>
      <c r="D17" s="1" t="s">
        <v>20</v>
      </c>
      <c r="E17" s="1">
        <v>11999</v>
      </c>
      <c r="F17" s="1">
        <v>17</v>
      </c>
      <c r="G17" s="10">
        <v>203983</v>
      </c>
      <c r="H17" s="1">
        <f>Table1[[#This Row],[Price]]*Table1[[#This Row],[Units]]</f>
        <v>203983</v>
      </c>
      <c r="I17" s="1">
        <f>YEAR(Table1[[#This Row],[Date]])</f>
        <v>2020</v>
      </c>
      <c r="J17" t="str">
        <f>TEXT(Table1[[#This Row],[Date]],"MMM")</f>
        <v>Mar</v>
      </c>
      <c r="K17">
        <f>DAY(Table1[[#This Row],[Date]])</f>
        <v>1</v>
      </c>
      <c r="L17" t="str">
        <f>TEXT(Table1[[#This Row],[Date]],"ddd")</f>
        <v>Sun</v>
      </c>
    </row>
    <row r="18" spans="1:12" x14ac:dyDescent="0.3">
      <c r="A18" s="9">
        <v>43895</v>
      </c>
      <c r="B18" s="1" t="s">
        <v>11</v>
      </c>
      <c r="C18" s="1" t="s">
        <v>15</v>
      </c>
      <c r="D18" s="1" t="s">
        <v>10</v>
      </c>
      <c r="E18" s="1">
        <v>47500</v>
      </c>
      <c r="F18" s="1">
        <v>27</v>
      </c>
      <c r="G18" s="10">
        <v>1282500</v>
      </c>
      <c r="H18" s="1">
        <f>Table1[[#This Row],[Price]]*Table1[[#This Row],[Units]]</f>
        <v>1282500</v>
      </c>
      <c r="I18" s="1">
        <f>YEAR(Table1[[#This Row],[Date]])</f>
        <v>2020</v>
      </c>
      <c r="J18" t="str">
        <f>TEXT(Table1[[#This Row],[Date]],"MMM")</f>
        <v>Mar</v>
      </c>
      <c r="K18">
        <f>DAY(Table1[[#This Row],[Date]])</f>
        <v>5</v>
      </c>
      <c r="L18" t="str">
        <f>TEXT(Table1[[#This Row],[Date]],"ddd")</f>
        <v>Thu</v>
      </c>
    </row>
    <row r="19" spans="1:12" x14ac:dyDescent="0.3">
      <c r="A19" s="9">
        <v>43899</v>
      </c>
      <c r="B19" s="1" t="s">
        <v>18</v>
      </c>
      <c r="C19" s="1" t="s">
        <v>19</v>
      </c>
      <c r="D19" s="1" t="s">
        <v>10</v>
      </c>
      <c r="E19" s="1">
        <v>2999</v>
      </c>
      <c r="F19" s="1">
        <v>43</v>
      </c>
      <c r="G19" s="10">
        <v>128957</v>
      </c>
      <c r="H19" s="1">
        <f>Table1[[#This Row],[Price]]*Table1[[#This Row],[Units]]</f>
        <v>128957</v>
      </c>
      <c r="I19" s="1">
        <f>YEAR(Table1[[#This Row],[Date]])</f>
        <v>2020</v>
      </c>
      <c r="J19" t="str">
        <f>TEXT(Table1[[#This Row],[Date]],"MMM")</f>
        <v>Mar</v>
      </c>
      <c r="K19">
        <f>DAY(Table1[[#This Row],[Date]])</f>
        <v>9</v>
      </c>
      <c r="L19" t="str">
        <f>TEXT(Table1[[#This Row],[Date]],"ddd")</f>
        <v>Mon</v>
      </c>
    </row>
    <row r="20" spans="1:12" x14ac:dyDescent="0.3">
      <c r="A20" s="9">
        <v>43903</v>
      </c>
      <c r="B20" s="1" t="s">
        <v>14</v>
      </c>
      <c r="C20" s="1" t="s">
        <v>16</v>
      </c>
      <c r="D20" s="1" t="s">
        <v>10</v>
      </c>
      <c r="E20" s="1">
        <v>8900</v>
      </c>
      <c r="F20" s="1">
        <v>9</v>
      </c>
      <c r="G20" s="10">
        <v>80100</v>
      </c>
      <c r="H20" s="1">
        <f>Table1[[#This Row],[Price]]*Table1[[#This Row],[Units]]</f>
        <v>80100</v>
      </c>
      <c r="I20" s="1">
        <f>YEAR(Table1[[#This Row],[Date]])</f>
        <v>2020</v>
      </c>
      <c r="J20" t="str">
        <f>TEXT(Table1[[#This Row],[Date]],"MMM")</f>
        <v>Mar</v>
      </c>
      <c r="K20">
        <f>DAY(Table1[[#This Row],[Date]])</f>
        <v>13</v>
      </c>
      <c r="L20" t="str">
        <f>TEXT(Table1[[#This Row],[Date]],"ddd")</f>
        <v>Fri</v>
      </c>
    </row>
    <row r="21" spans="1:12" x14ac:dyDescent="0.3">
      <c r="A21" s="9">
        <v>43907</v>
      </c>
      <c r="B21" s="1" t="s">
        <v>9</v>
      </c>
      <c r="C21" s="1" t="s">
        <v>19</v>
      </c>
      <c r="D21" s="1" t="s">
        <v>8</v>
      </c>
      <c r="E21" s="1">
        <v>22000</v>
      </c>
      <c r="F21" s="1">
        <v>42</v>
      </c>
      <c r="G21" s="10">
        <v>924000</v>
      </c>
      <c r="H21" s="1">
        <f>Table1[[#This Row],[Price]]*Table1[[#This Row],[Units]]</f>
        <v>924000</v>
      </c>
      <c r="I21" s="1">
        <f>YEAR(Table1[[#This Row],[Date]])</f>
        <v>2020</v>
      </c>
      <c r="J21" t="str">
        <f>TEXT(Table1[[#This Row],[Date]],"MMM")</f>
        <v>Mar</v>
      </c>
      <c r="K21">
        <f>DAY(Table1[[#This Row],[Date]])</f>
        <v>17</v>
      </c>
      <c r="L21" t="str">
        <f>TEXT(Table1[[#This Row],[Date]],"ddd")</f>
        <v>Tue</v>
      </c>
    </row>
    <row r="22" spans="1:12" x14ac:dyDescent="0.3">
      <c r="A22" s="9">
        <v>43911</v>
      </c>
      <c r="B22" s="1" t="s">
        <v>11</v>
      </c>
      <c r="C22" s="1" t="s">
        <v>12</v>
      </c>
      <c r="D22" s="1" t="s">
        <v>10</v>
      </c>
      <c r="E22" s="1">
        <v>1250</v>
      </c>
      <c r="F22" s="1">
        <v>6</v>
      </c>
      <c r="G22" s="10">
        <v>7500</v>
      </c>
      <c r="H22" s="1">
        <f>Table1[[#This Row],[Price]]*Table1[[#This Row],[Units]]</f>
        <v>7500</v>
      </c>
      <c r="I22" s="1">
        <f>YEAR(Table1[[#This Row],[Date]])</f>
        <v>2020</v>
      </c>
      <c r="J22" t="str">
        <f>TEXT(Table1[[#This Row],[Date]],"MMM")</f>
        <v>Mar</v>
      </c>
      <c r="K22">
        <f>DAY(Table1[[#This Row],[Date]])</f>
        <v>21</v>
      </c>
      <c r="L22" t="str">
        <f>TEXT(Table1[[#This Row],[Date]],"ddd")</f>
        <v>Sat</v>
      </c>
    </row>
    <row r="23" spans="1:12" x14ac:dyDescent="0.3">
      <c r="A23" s="9">
        <v>43915</v>
      </c>
      <c r="B23" s="1" t="s">
        <v>14</v>
      </c>
      <c r="C23" s="1" t="s">
        <v>16</v>
      </c>
      <c r="D23" s="1" t="s">
        <v>17</v>
      </c>
      <c r="E23" s="1">
        <v>999</v>
      </c>
      <c r="F23" s="1">
        <v>28</v>
      </c>
      <c r="G23" s="10">
        <v>27972</v>
      </c>
      <c r="H23" s="1">
        <f>Table1[[#This Row],[Price]]*Table1[[#This Row],[Units]]</f>
        <v>27972</v>
      </c>
      <c r="I23" s="1">
        <f>YEAR(Table1[[#This Row],[Date]])</f>
        <v>2020</v>
      </c>
      <c r="J23" t="str">
        <f>TEXT(Table1[[#This Row],[Date]],"MMM")</f>
        <v>Mar</v>
      </c>
      <c r="K23">
        <f>DAY(Table1[[#This Row],[Date]])</f>
        <v>25</v>
      </c>
      <c r="L23" t="str">
        <f>TEXT(Table1[[#This Row],[Date]],"ddd")</f>
        <v>Wed</v>
      </c>
    </row>
    <row r="24" spans="1:12" x14ac:dyDescent="0.3">
      <c r="A24" s="9">
        <v>43919</v>
      </c>
      <c r="B24" s="1" t="s">
        <v>18</v>
      </c>
      <c r="C24" s="1" t="s">
        <v>12</v>
      </c>
      <c r="D24" s="1" t="s">
        <v>20</v>
      </c>
      <c r="E24" s="1">
        <v>1450</v>
      </c>
      <c r="F24" s="1">
        <v>13</v>
      </c>
      <c r="G24" s="10">
        <v>18850</v>
      </c>
      <c r="H24" s="1">
        <f>Table1[[#This Row],[Price]]*Table1[[#This Row],[Units]]</f>
        <v>18850</v>
      </c>
      <c r="I24" s="1">
        <f>YEAR(Table1[[#This Row],[Date]])</f>
        <v>2020</v>
      </c>
      <c r="J24" t="str">
        <f>TEXT(Table1[[#This Row],[Date]],"MMM")</f>
        <v>Mar</v>
      </c>
      <c r="K24">
        <f>DAY(Table1[[#This Row],[Date]])</f>
        <v>29</v>
      </c>
      <c r="L24" t="str">
        <f>TEXT(Table1[[#This Row],[Date]],"ddd")</f>
        <v>Sun</v>
      </c>
    </row>
    <row r="25" spans="1:12" x14ac:dyDescent="0.3">
      <c r="A25" s="9">
        <v>43923</v>
      </c>
      <c r="B25" s="1" t="s">
        <v>18</v>
      </c>
      <c r="C25" s="1" t="s">
        <v>12</v>
      </c>
      <c r="D25" s="1" t="s">
        <v>13</v>
      </c>
      <c r="E25" s="1">
        <v>23999</v>
      </c>
      <c r="F25" s="1">
        <v>8</v>
      </c>
      <c r="G25" s="10">
        <v>191992</v>
      </c>
      <c r="H25" s="1">
        <f>Table1[[#This Row],[Price]]*Table1[[#This Row],[Units]]</f>
        <v>191992</v>
      </c>
      <c r="I25" s="1">
        <f>YEAR(Table1[[#This Row],[Date]])</f>
        <v>2020</v>
      </c>
      <c r="J25" t="str">
        <f>TEXT(Table1[[#This Row],[Date]],"MMM")</f>
        <v>Apr</v>
      </c>
      <c r="K25">
        <f>DAY(Table1[[#This Row],[Date]])</f>
        <v>2</v>
      </c>
      <c r="L25" t="str">
        <f>TEXT(Table1[[#This Row],[Date]],"ddd")</f>
        <v>Thu</v>
      </c>
    </row>
    <row r="26" spans="1:12" x14ac:dyDescent="0.3">
      <c r="A26" s="9">
        <v>43927</v>
      </c>
      <c r="B26" s="1" t="s">
        <v>9</v>
      </c>
      <c r="C26" s="1" t="s">
        <v>15</v>
      </c>
      <c r="D26" s="1" t="s">
        <v>20</v>
      </c>
      <c r="E26" s="1">
        <v>65200</v>
      </c>
      <c r="F26" s="1">
        <v>7</v>
      </c>
      <c r="G26" s="10">
        <v>456400</v>
      </c>
      <c r="H26" s="1">
        <f>Table1[[#This Row],[Price]]*Table1[[#This Row],[Units]]</f>
        <v>456400</v>
      </c>
      <c r="I26" s="1">
        <f>YEAR(Table1[[#This Row],[Date]])</f>
        <v>2020</v>
      </c>
      <c r="J26" t="str">
        <f>TEXT(Table1[[#This Row],[Date]],"MMM")</f>
        <v>Apr</v>
      </c>
      <c r="K26">
        <f>DAY(Table1[[#This Row],[Date]])</f>
        <v>6</v>
      </c>
      <c r="L26" t="str">
        <f>TEXT(Table1[[#This Row],[Date]],"ddd")</f>
        <v>Mon</v>
      </c>
    </row>
    <row r="27" spans="1:12" x14ac:dyDescent="0.3">
      <c r="A27" s="9">
        <v>43931</v>
      </c>
      <c r="B27" s="1" t="s">
        <v>9</v>
      </c>
      <c r="C27" s="1" t="s">
        <v>21</v>
      </c>
      <c r="D27" s="1" t="s">
        <v>10</v>
      </c>
      <c r="E27" s="1">
        <v>699</v>
      </c>
      <c r="F27" s="1">
        <v>45</v>
      </c>
      <c r="G27" s="10">
        <v>31455</v>
      </c>
      <c r="H27" s="1">
        <f>Table1[[#This Row],[Price]]*Table1[[#This Row],[Units]]</f>
        <v>31455</v>
      </c>
      <c r="I27" s="1">
        <f>YEAR(Table1[[#This Row],[Date]])</f>
        <v>2020</v>
      </c>
      <c r="J27" t="str">
        <f>TEXT(Table1[[#This Row],[Date]],"MMM")</f>
        <v>Apr</v>
      </c>
      <c r="K27">
        <f>DAY(Table1[[#This Row],[Date]])</f>
        <v>10</v>
      </c>
      <c r="L27" t="str">
        <f>TEXT(Table1[[#This Row],[Date]],"ddd")</f>
        <v>Fri</v>
      </c>
    </row>
    <row r="28" spans="1:12" x14ac:dyDescent="0.3">
      <c r="A28" s="9">
        <v>43935</v>
      </c>
      <c r="B28" s="1" t="s">
        <v>6</v>
      </c>
      <c r="C28" s="1" t="s">
        <v>7</v>
      </c>
      <c r="D28" s="1" t="s">
        <v>8</v>
      </c>
      <c r="E28" s="1">
        <v>2550</v>
      </c>
      <c r="F28" s="1">
        <v>22</v>
      </c>
      <c r="G28" s="10">
        <v>56100</v>
      </c>
      <c r="H28" s="1">
        <f>Table1[[#This Row],[Price]]*Table1[[#This Row],[Units]]</f>
        <v>56100</v>
      </c>
      <c r="I28" s="1">
        <f>YEAR(Table1[[#This Row],[Date]])</f>
        <v>2020</v>
      </c>
      <c r="J28" t="str">
        <f>TEXT(Table1[[#This Row],[Date]],"MMM")</f>
        <v>Apr</v>
      </c>
      <c r="K28">
        <f>DAY(Table1[[#This Row],[Date]])</f>
        <v>14</v>
      </c>
      <c r="L28" t="str">
        <f>TEXT(Table1[[#This Row],[Date]],"ddd")</f>
        <v>Tue</v>
      </c>
    </row>
    <row r="29" spans="1:12" x14ac:dyDescent="0.3">
      <c r="A29" s="9">
        <v>43939</v>
      </c>
      <c r="B29" s="1" t="s">
        <v>11</v>
      </c>
      <c r="C29" s="1" t="s">
        <v>19</v>
      </c>
      <c r="D29" s="1" t="s">
        <v>20</v>
      </c>
      <c r="E29" s="1">
        <v>22000</v>
      </c>
      <c r="F29" s="1">
        <v>4</v>
      </c>
      <c r="G29" s="10">
        <v>88000</v>
      </c>
      <c r="H29" s="1">
        <f>Table1[[#This Row],[Price]]*Table1[[#This Row],[Units]]</f>
        <v>88000</v>
      </c>
      <c r="I29" s="1">
        <f>YEAR(Table1[[#This Row],[Date]])</f>
        <v>2020</v>
      </c>
      <c r="J29" t="str">
        <f>TEXT(Table1[[#This Row],[Date]],"MMM")</f>
        <v>Apr</v>
      </c>
      <c r="K29">
        <f>DAY(Table1[[#This Row],[Date]])</f>
        <v>18</v>
      </c>
      <c r="L29" t="str">
        <f>TEXT(Table1[[#This Row],[Date]],"ddd")</f>
        <v>Sat</v>
      </c>
    </row>
    <row r="30" spans="1:12" x14ac:dyDescent="0.3">
      <c r="A30" s="9">
        <v>43943</v>
      </c>
      <c r="B30" s="1" t="s">
        <v>18</v>
      </c>
      <c r="C30" s="1" t="s">
        <v>15</v>
      </c>
      <c r="D30" s="1" t="s">
        <v>8</v>
      </c>
      <c r="E30" s="1">
        <v>22000</v>
      </c>
      <c r="F30" s="1">
        <v>10</v>
      </c>
      <c r="G30" s="10">
        <v>220000</v>
      </c>
      <c r="H30" s="1">
        <f>Table1[[#This Row],[Price]]*Table1[[#This Row],[Units]]</f>
        <v>220000</v>
      </c>
      <c r="I30" s="1">
        <f>YEAR(Table1[[#This Row],[Date]])</f>
        <v>2020</v>
      </c>
      <c r="J30" t="str">
        <f>TEXT(Table1[[#This Row],[Date]],"MMM")</f>
        <v>Apr</v>
      </c>
      <c r="K30">
        <f>DAY(Table1[[#This Row],[Date]])</f>
        <v>22</v>
      </c>
      <c r="L30" t="str">
        <f>TEXT(Table1[[#This Row],[Date]],"ddd")</f>
        <v>Wed</v>
      </c>
    </row>
    <row r="31" spans="1:12" x14ac:dyDescent="0.3">
      <c r="A31" s="9">
        <v>43947</v>
      </c>
      <c r="B31" s="1" t="s">
        <v>22</v>
      </c>
      <c r="C31" s="1" t="s">
        <v>21</v>
      </c>
      <c r="D31" s="1" t="s">
        <v>17</v>
      </c>
      <c r="E31" s="1">
        <v>1499</v>
      </c>
      <c r="F31" s="1">
        <v>16</v>
      </c>
      <c r="G31" s="10">
        <v>23984</v>
      </c>
      <c r="H31" s="1">
        <f>Table1[[#This Row],[Price]]*Table1[[#This Row],[Units]]</f>
        <v>23984</v>
      </c>
      <c r="I31" s="1">
        <f>YEAR(Table1[[#This Row],[Date]])</f>
        <v>2020</v>
      </c>
      <c r="J31" t="str">
        <f>TEXT(Table1[[#This Row],[Date]],"MMM")</f>
        <v>Apr</v>
      </c>
      <c r="K31">
        <f>DAY(Table1[[#This Row],[Date]])</f>
        <v>26</v>
      </c>
      <c r="L31" t="str">
        <f>TEXT(Table1[[#This Row],[Date]],"ddd")</f>
        <v>Sun</v>
      </c>
    </row>
    <row r="32" spans="1:12" x14ac:dyDescent="0.3">
      <c r="A32" s="9">
        <v>43951</v>
      </c>
      <c r="B32" s="1" t="s">
        <v>9</v>
      </c>
      <c r="C32" s="1" t="s">
        <v>16</v>
      </c>
      <c r="D32" s="1" t="s">
        <v>20</v>
      </c>
      <c r="E32" s="1">
        <v>120</v>
      </c>
      <c r="F32" s="1">
        <v>22</v>
      </c>
      <c r="G32" s="10">
        <v>2640</v>
      </c>
      <c r="H32" s="1">
        <f>Table1[[#This Row],[Price]]*Table1[[#This Row],[Units]]</f>
        <v>2640</v>
      </c>
      <c r="I32" s="1">
        <f>YEAR(Table1[[#This Row],[Date]])</f>
        <v>2020</v>
      </c>
      <c r="J32" t="str">
        <f>TEXT(Table1[[#This Row],[Date]],"MMM")</f>
        <v>Apr</v>
      </c>
      <c r="K32">
        <f>DAY(Table1[[#This Row],[Date]])</f>
        <v>30</v>
      </c>
      <c r="L32" t="str">
        <f>TEXT(Table1[[#This Row],[Date]],"ddd")</f>
        <v>Thu</v>
      </c>
    </row>
    <row r="33" spans="1:12" x14ac:dyDescent="0.3">
      <c r="A33" s="9">
        <v>43955</v>
      </c>
      <c r="B33" s="1" t="s">
        <v>6</v>
      </c>
      <c r="C33" s="1" t="s">
        <v>7</v>
      </c>
      <c r="D33" s="1" t="s">
        <v>13</v>
      </c>
      <c r="E33" s="1">
        <v>1450</v>
      </c>
      <c r="F33" s="1">
        <v>20</v>
      </c>
      <c r="G33" s="10">
        <v>29000</v>
      </c>
      <c r="H33" s="1">
        <f>Table1[[#This Row],[Price]]*Table1[[#This Row],[Units]]</f>
        <v>29000</v>
      </c>
      <c r="I33" s="1">
        <f>YEAR(Table1[[#This Row],[Date]])</f>
        <v>2020</v>
      </c>
      <c r="J33" t="str">
        <f>TEXT(Table1[[#This Row],[Date]],"MMM")</f>
        <v>May</v>
      </c>
      <c r="K33">
        <f>DAY(Table1[[#This Row],[Date]])</f>
        <v>4</v>
      </c>
      <c r="L33" t="str">
        <f>TEXT(Table1[[#This Row],[Date]],"ddd")</f>
        <v>Mon</v>
      </c>
    </row>
    <row r="34" spans="1:12" x14ac:dyDescent="0.3">
      <c r="A34" s="9">
        <v>43959</v>
      </c>
      <c r="B34" s="1" t="s">
        <v>22</v>
      </c>
      <c r="C34" s="1" t="s">
        <v>21</v>
      </c>
      <c r="D34" s="1" t="s">
        <v>17</v>
      </c>
      <c r="E34" s="1">
        <v>1999</v>
      </c>
      <c r="F34" s="1">
        <v>23</v>
      </c>
      <c r="G34" s="10">
        <v>45977</v>
      </c>
      <c r="H34" s="1">
        <f>Table1[[#This Row],[Price]]*Table1[[#This Row],[Units]]</f>
        <v>45977</v>
      </c>
      <c r="I34" s="1">
        <f>YEAR(Table1[[#This Row],[Date]])</f>
        <v>2020</v>
      </c>
      <c r="J34" t="str">
        <f>TEXT(Table1[[#This Row],[Date]],"MMM")</f>
        <v>May</v>
      </c>
      <c r="K34">
        <f>DAY(Table1[[#This Row],[Date]])</f>
        <v>8</v>
      </c>
      <c r="L34" t="str">
        <f>TEXT(Table1[[#This Row],[Date]],"ddd")</f>
        <v>Fri</v>
      </c>
    </row>
    <row r="35" spans="1:12" x14ac:dyDescent="0.3">
      <c r="A35" s="9">
        <v>43963</v>
      </c>
      <c r="B35" s="1" t="s">
        <v>9</v>
      </c>
      <c r="C35" s="1" t="s">
        <v>7</v>
      </c>
      <c r="D35" s="1" t="s">
        <v>8</v>
      </c>
      <c r="E35" s="1">
        <v>800</v>
      </c>
      <c r="F35" s="1">
        <v>43</v>
      </c>
      <c r="G35" s="10">
        <v>34400</v>
      </c>
      <c r="H35" s="1">
        <f>Table1[[#This Row],[Price]]*Table1[[#This Row],[Units]]</f>
        <v>34400</v>
      </c>
      <c r="I35" s="1">
        <f>YEAR(Table1[[#This Row],[Date]])</f>
        <v>2020</v>
      </c>
      <c r="J35" t="str">
        <f>TEXT(Table1[[#This Row],[Date]],"MMM")</f>
        <v>May</v>
      </c>
      <c r="K35">
        <f>DAY(Table1[[#This Row],[Date]])</f>
        <v>12</v>
      </c>
      <c r="L35" t="str">
        <f>TEXT(Table1[[#This Row],[Date]],"ddd")</f>
        <v>Tue</v>
      </c>
    </row>
    <row r="36" spans="1:12" x14ac:dyDescent="0.3">
      <c r="A36" s="9">
        <v>43967</v>
      </c>
      <c r="B36" s="1" t="s">
        <v>11</v>
      </c>
      <c r="C36" s="1" t="s">
        <v>16</v>
      </c>
      <c r="D36" s="1" t="s">
        <v>17</v>
      </c>
      <c r="E36" s="1">
        <v>18000</v>
      </c>
      <c r="F36" s="1">
        <v>41</v>
      </c>
      <c r="G36" s="10">
        <v>738000</v>
      </c>
      <c r="H36" s="1">
        <f>Table1[[#This Row],[Price]]*Table1[[#This Row],[Units]]</f>
        <v>738000</v>
      </c>
      <c r="I36" s="1">
        <f>YEAR(Table1[[#This Row],[Date]])</f>
        <v>2020</v>
      </c>
      <c r="J36" t="str">
        <f>TEXT(Table1[[#This Row],[Date]],"MMM")</f>
        <v>May</v>
      </c>
      <c r="K36">
        <f>DAY(Table1[[#This Row],[Date]])</f>
        <v>16</v>
      </c>
      <c r="L36" t="str">
        <f>TEXT(Table1[[#This Row],[Date]],"ddd")</f>
        <v>Sat</v>
      </c>
    </row>
    <row r="37" spans="1:12" x14ac:dyDescent="0.3">
      <c r="A37" s="9">
        <v>43971</v>
      </c>
      <c r="B37" s="1" t="s">
        <v>6</v>
      </c>
      <c r="C37" s="1" t="s">
        <v>7</v>
      </c>
      <c r="D37" s="1" t="s">
        <v>10</v>
      </c>
      <c r="E37" s="1">
        <v>13999</v>
      </c>
      <c r="F37" s="1">
        <v>37</v>
      </c>
      <c r="G37" s="10">
        <v>517963</v>
      </c>
      <c r="H37" s="1">
        <f>Table1[[#This Row],[Price]]*Table1[[#This Row],[Units]]</f>
        <v>517963</v>
      </c>
      <c r="I37" s="1">
        <f>YEAR(Table1[[#This Row],[Date]])</f>
        <v>2020</v>
      </c>
      <c r="J37" t="str">
        <f>TEXT(Table1[[#This Row],[Date]],"MMM")</f>
        <v>May</v>
      </c>
      <c r="K37">
        <f>DAY(Table1[[#This Row],[Date]])</f>
        <v>20</v>
      </c>
      <c r="L37" t="str">
        <f>TEXT(Table1[[#This Row],[Date]],"ddd")</f>
        <v>Wed</v>
      </c>
    </row>
    <row r="38" spans="1:12" x14ac:dyDescent="0.3">
      <c r="A38" s="9">
        <v>43975</v>
      </c>
      <c r="B38" s="1" t="s">
        <v>9</v>
      </c>
      <c r="C38" s="1" t="s">
        <v>19</v>
      </c>
      <c r="D38" s="1" t="s">
        <v>17</v>
      </c>
      <c r="E38" s="1">
        <v>22000</v>
      </c>
      <c r="F38" s="1">
        <v>45</v>
      </c>
      <c r="G38" s="10">
        <v>990000</v>
      </c>
      <c r="H38" s="1">
        <f>Table1[[#This Row],[Price]]*Table1[[#This Row],[Units]]</f>
        <v>990000</v>
      </c>
      <c r="I38" s="1">
        <f>YEAR(Table1[[#This Row],[Date]])</f>
        <v>2020</v>
      </c>
      <c r="J38" t="str">
        <f>TEXT(Table1[[#This Row],[Date]],"MMM")</f>
        <v>May</v>
      </c>
      <c r="K38">
        <f>DAY(Table1[[#This Row],[Date]])</f>
        <v>24</v>
      </c>
      <c r="L38" t="str">
        <f>TEXT(Table1[[#This Row],[Date]],"ddd")</f>
        <v>Sun</v>
      </c>
    </row>
    <row r="39" spans="1:12" x14ac:dyDescent="0.3">
      <c r="A39" s="9">
        <v>43979</v>
      </c>
      <c r="B39" s="1" t="s">
        <v>18</v>
      </c>
      <c r="C39" s="1" t="s">
        <v>15</v>
      </c>
      <c r="D39" s="1" t="s">
        <v>8</v>
      </c>
      <c r="E39" s="1">
        <v>89999</v>
      </c>
      <c r="F39" s="1">
        <v>15</v>
      </c>
      <c r="G39" s="10">
        <v>1349985</v>
      </c>
      <c r="H39" s="1">
        <f>Table1[[#This Row],[Price]]*Table1[[#This Row],[Units]]</f>
        <v>1349985</v>
      </c>
      <c r="I39" s="1">
        <f>YEAR(Table1[[#This Row],[Date]])</f>
        <v>2020</v>
      </c>
      <c r="J39" t="str">
        <f>TEXT(Table1[[#This Row],[Date]],"MMM")</f>
        <v>May</v>
      </c>
      <c r="K39">
        <f>DAY(Table1[[#This Row],[Date]])</f>
        <v>28</v>
      </c>
      <c r="L39" t="str">
        <f>TEXT(Table1[[#This Row],[Date]],"ddd")</f>
        <v>Thu</v>
      </c>
    </row>
    <row r="40" spans="1:12" x14ac:dyDescent="0.3">
      <c r="A40" s="9">
        <v>43983</v>
      </c>
      <c r="B40" s="1" t="s">
        <v>6</v>
      </c>
      <c r="C40" s="1" t="s">
        <v>7</v>
      </c>
      <c r="D40" s="1" t="s">
        <v>13</v>
      </c>
      <c r="E40" s="1">
        <v>13999</v>
      </c>
      <c r="F40" s="1">
        <v>22</v>
      </c>
      <c r="G40" s="10">
        <v>307978</v>
      </c>
      <c r="H40" s="1">
        <f>Table1[[#This Row],[Price]]*Table1[[#This Row],[Units]]</f>
        <v>307978</v>
      </c>
      <c r="I40" s="1">
        <f>YEAR(Table1[[#This Row],[Date]])</f>
        <v>2020</v>
      </c>
      <c r="J40" t="str">
        <f>TEXT(Table1[[#This Row],[Date]],"MMM")</f>
        <v>Jun</v>
      </c>
      <c r="K40">
        <f>DAY(Table1[[#This Row],[Date]])</f>
        <v>1</v>
      </c>
      <c r="L40" t="str">
        <f>TEXT(Table1[[#This Row],[Date]],"ddd")</f>
        <v>Mon</v>
      </c>
    </row>
    <row r="41" spans="1:12" x14ac:dyDescent="0.3">
      <c r="A41" s="9">
        <v>43987</v>
      </c>
      <c r="B41" s="1" t="s">
        <v>11</v>
      </c>
      <c r="C41" s="1" t="s">
        <v>21</v>
      </c>
      <c r="D41" s="1" t="s">
        <v>10</v>
      </c>
      <c r="E41" s="1">
        <v>2900</v>
      </c>
      <c r="F41" s="1">
        <v>20</v>
      </c>
      <c r="G41" s="10">
        <v>58000</v>
      </c>
      <c r="H41" s="1">
        <f>Table1[[#This Row],[Price]]*Table1[[#This Row],[Units]]</f>
        <v>58000</v>
      </c>
      <c r="I41" s="1">
        <f>YEAR(Table1[[#This Row],[Date]])</f>
        <v>2020</v>
      </c>
      <c r="J41" t="str">
        <f>TEXT(Table1[[#This Row],[Date]],"MMM")</f>
        <v>Jun</v>
      </c>
      <c r="K41">
        <f>DAY(Table1[[#This Row],[Date]])</f>
        <v>5</v>
      </c>
      <c r="L41" t="str">
        <f>TEXT(Table1[[#This Row],[Date]],"ddd")</f>
        <v>Fri</v>
      </c>
    </row>
    <row r="42" spans="1:12" x14ac:dyDescent="0.3">
      <c r="A42" s="9">
        <v>43991</v>
      </c>
      <c r="B42" s="1" t="s">
        <v>9</v>
      </c>
      <c r="C42" s="1" t="s">
        <v>19</v>
      </c>
      <c r="D42" s="1" t="s">
        <v>17</v>
      </c>
      <c r="E42" s="1">
        <v>33000</v>
      </c>
      <c r="F42" s="1">
        <v>16</v>
      </c>
      <c r="G42" s="10">
        <v>528000</v>
      </c>
      <c r="H42" s="1">
        <f>Table1[[#This Row],[Price]]*Table1[[#This Row],[Units]]</f>
        <v>528000</v>
      </c>
      <c r="I42" s="1">
        <f>YEAR(Table1[[#This Row],[Date]])</f>
        <v>2020</v>
      </c>
      <c r="J42" t="str">
        <f>TEXT(Table1[[#This Row],[Date]],"MMM")</f>
        <v>Jun</v>
      </c>
      <c r="K42">
        <f>DAY(Table1[[#This Row],[Date]])</f>
        <v>9</v>
      </c>
      <c r="L42" t="str">
        <f>TEXT(Table1[[#This Row],[Date]],"ddd")</f>
        <v>Tue</v>
      </c>
    </row>
    <row r="43" spans="1:12" x14ac:dyDescent="0.3">
      <c r="A43" s="9">
        <v>43995</v>
      </c>
      <c r="B43" s="1" t="s">
        <v>11</v>
      </c>
      <c r="C43" s="1" t="s">
        <v>19</v>
      </c>
      <c r="D43" s="1" t="s">
        <v>10</v>
      </c>
      <c r="E43" s="1">
        <v>22000</v>
      </c>
      <c r="F43" s="1">
        <v>17</v>
      </c>
      <c r="G43" s="10">
        <v>374000</v>
      </c>
      <c r="H43" s="1">
        <f>Table1[[#This Row],[Price]]*Table1[[#This Row],[Units]]</f>
        <v>374000</v>
      </c>
      <c r="I43" s="1">
        <f>YEAR(Table1[[#This Row],[Date]])</f>
        <v>2020</v>
      </c>
      <c r="J43" t="str">
        <f>TEXT(Table1[[#This Row],[Date]],"MMM")</f>
        <v>Jun</v>
      </c>
      <c r="K43">
        <f>DAY(Table1[[#This Row],[Date]])</f>
        <v>13</v>
      </c>
      <c r="L43" t="str">
        <f>TEXT(Table1[[#This Row],[Date]],"ddd")</f>
        <v>Sat</v>
      </c>
    </row>
    <row r="44" spans="1:12" x14ac:dyDescent="0.3">
      <c r="A44" s="9">
        <v>43999</v>
      </c>
      <c r="B44" s="1" t="s">
        <v>22</v>
      </c>
      <c r="C44" s="1" t="s">
        <v>21</v>
      </c>
      <c r="D44" s="1" t="s">
        <v>10</v>
      </c>
      <c r="E44" s="1">
        <v>699</v>
      </c>
      <c r="F44" s="1">
        <v>50</v>
      </c>
      <c r="G44" s="10">
        <v>34950</v>
      </c>
      <c r="H44" s="1">
        <f>Table1[[#This Row],[Price]]*Table1[[#This Row],[Units]]</f>
        <v>34950</v>
      </c>
      <c r="I44" s="1">
        <f>YEAR(Table1[[#This Row],[Date]])</f>
        <v>2020</v>
      </c>
      <c r="J44" t="str">
        <f>TEXT(Table1[[#This Row],[Date]],"MMM")</f>
        <v>Jun</v>
      </c>
      <c r="K44">
        <f>DAY(Table1[[#This Row],[Date]])</f>
        <v>17</v>
      </c>
      <c r="L44" t="str">
        <f>TEXT(Table1[[#This Row],[Date]],"ddd")</f>
        <v>Wed</v>
      </c>
    </row>
    <row r="45" spans="1:12" x14ac:dyDescent="0.3">
      <c r="A45" s="9">
        <v>44003</v>
      </c>
      <c r="B45" s="1" t="s">
        <v>18</v>
      </c>
      <c r="C45" s="1" t="s">
        <v>19</v>
      </c>
      <c r="D45" s="1" t="s">
        <v>13</v>
      </c>
      <c r="E45" s="1">
        <v>499</v>
      </c>
      <c r="F45" s="1">
        <v>4</v>
      </c>
      <c r="G45" s="10">
        <v>1996</v>
      </c>
      <c r="H45" s="1">
        <f>Table1[[#This Row],[Price]]*Table1[[#This Row],[Units]]</f>
        <v>1996</v>
      </c>
      <c r="I45" s="1">
        <f>YEAR(Table1[[#This Row],[Date]])</f>
        <v>2020</v>
      </c>
      <c r="J45" t="str">
        <f>TEXT(Table1[[#This Row],[Date]],"MMM")</f>
        <v>Jun</v>
      </c>
      <c r="K45">
        <f>DAY(Table1[[#This Row],[Date]])</f>
        <v>21</v>
      </c>
      <c r="L45" t="str">
        <f>TEXT(Table1[[#This Row],[Date]],"ddd")</f>
        <v>Sun</v>
      </c>
    </row>
    <row r="46" spans="1:12" x14ac:dyDescent="0.3">
      <c r="A46" s="9">
        <v>44007</v>
      </c>
      <c r="B46" s="1" t="s">
        <v>9</v>
      </c>
      <c r="C46" s="1" t="s">
        <v>21</v>
      </c>
      <c r="D46" s="1" t="s">
        <v>17</v>
      </c>
      <c r="E46" s="1">
        <v>590</v>
      </c>
      <c r="F46" s="1">
        <v>43</v>
      </c>
      <c r="G46" s="10">
        <v>25370</v>
      </c>
      <c r="H46" s="1">
        <f>Table1[[#This Row],[Price]]*Table1[[#This Row],[Units]]</f>
        <v>25370</v>
      </c>
      <c r="I46" s="1">
        <f>YEAR(Table1[[#This Row],[Date]])</f>
        <v>2020</v>
      </c>
      <c r="J46" t="str">
        <f>TEXT(Table1[[#This Row],[Date]],"MMM")</f>
        <v>Jun</v>
      </c>
      <c r="K46">
        <f>DAY(Table1[[#This Row],[Date]])</f>
        <v>25</v>
      </c>
      <c r="L46" t="str">
        <f>TEXT(Table1[[#This Row],[Date]],"ddd")</f>
        <v>Thu</v>
      </c>
    </row>
    <row r="47" spans="1:12" x14ac:dyDescent="0.3">
      <c r="A47" s="9">
        <v>44011</v>
      </c>
      <c r="B47" s="1" t="s">
        <v>22</v>
      </c>
      <c r="C47" s="1" t="s">
        <v>21</v>
      </c>
      <c r="D47" s="1" t="s">
        <v>10</v>
      </c>
      <c r="E47" s="1">
        <v>590</v>
      </c>
      <c r="F47" s="1">
        <v>42</v>
      </c>
      <c r="G47" s="10">
        <v>24780</v>
      </c>
      <c r="H47" s="1">
        <f>Table1[[#This Row],[Price]]*Table1[[#This Row],[Units]]</f>
        <v>24780</v>
      </c>
      <c r="I47" s="1">
        <f>YEAR(Table1[[#This Row],[Date]])</f>
        <v>2020</v>
      </c>
      <c r="J47" t="str">
        <f>TEXT(Table1[[#This Row],[Date]],"MMM")</f>
        <v>Jun</v>
      </c>
      <c r="K47">
        <f>DAY(Table1[[#This Row],[Date]])</f>
        <v>29</v>
      </c>
      <c r="L47" t="str">
        <f>TEXT(Table1[[#This Row],[Date]],"ddd")</f>
        <v>Mon</v>
      </c>
    </row>
    <row r="48" spans="1:12" x14ac:dyDescent="0.3">
      <c r="A48" s="9">
        <v>44015</v>
      </c>
      <c r="B48" s="1" t="s">
        <v>9</v>
      </c>
      <c r="C48" s="1" t="s">
        <v>15</v>
      </c>
      <c r="D48" s="1" t="s">
        <v>8</v>
      </c>
      <c r="E48" s="1">
        <v>120</v>
      </c>
      <c r="F48" s="1">
        <v>9</v>
      </c>
      <c r="G48" s="10">
        <v>1080</v>
      </c>
      <c r="H48" s="1">
        <f>Table1[[#This Row],[Price]]*Table1[[#This Row],[Units]]</f>
        <v>1080</v>
      </c>
      <c r="I48" s="1">
        <f>YEAR(Table1[[#This Row],[Date]])</f>
        <v>2020</v>
      </c>
      <c r="J48" t="str">
        <f>TEXT(Table1[[#This Row],[Date]],"MMM")</f>
        <v>Jul</v>
      </c>
      <c r="K48">
        <f>DAY(Table1[[#This Row],[Date]])</f>
        <v>3</v>
      </c>
      <c r="L48" t="str">
        <f>TEXT(Table1[[#This Row],[Date]],"ddd")</f>
        <v>Fri</v>
      </c>
    </row>
    <row r="49" spans="1:12" x14ac:dyDescent="0.3">
      <c r="A49" s="9">
        <v>44019</v>
      </c>
      <c r="B49" s="1" t="s">
        <v>18</v>
      </c>
      <c r="C49" s="1" t="s">
        <v>19</v>
      </c>
      <c r="D49" s="1" t="s">
        <v>20</v>
      </c>
      <c r="E49" s="1">
        <v>52000</v>
      </c>
      <c r="F49" s="1">
        <v>40</v>
      </c>
      <c r="G49" s="10">
        <v>2080000</v>
      </c>
      <c r="H49" s="1">
        <f>Table1[[#This Row],[Price]]*Table1[[#This Row],[Units]]</f>
        <v>2080000</v>
      </c>
      <c r="I49" s="1">
        <f>YEAR(Table1[[#This Row],[Date]])</f>
        <v>2020</v>
      </c>
      <c r="J49" t="str">
        <f>TEXT(Table1[[#This Row],[Date]],"MMM")</f>
        <v>Jul</v>
      </c>
      <c r="K49">
        <f>DAY(Table1[[#This Row],[Date]])</f>
        <v>7</v>
      </c>
      <c r="L49" t="str">
        <f>TEXT(Table1[[#This Row],[Date]],"ddd")</f>
        <v>Tue</v>
      </c>
    </row>
    <row r="50" spans="1:12" x14ac:dyDescent="0.3">
      <c r="A50" s="9">
        <v>44023</v>
      </c>
      <c r="B50" s="1" t="s">
        <v>11</v>
      </c>
      <c r="C50" s="1" t="s">
        <v>12</v>
      </c>
      <c r="D50" s="1" t="s">
        <v>17</v>
      </c>
      <c r="E50" s="1">
        <v>7999</v>
      </c>
      <c r="F50" s="1">
        <v>14</v>
      </c>
      <c r="G50" s="10">
        <v>111986</v>
      </c>
      <c r="H50" s="1">
        <f>Table1[[#This Row],[Price]]*Table1[[#This Row],[Units]]</f>
        <v>111986</v>
      </c>
      <c r="I50" s="1">
        <f>YEAR(Table1[[#This Row],[Date]])</f>
        <v>2020</v>
      </c>
      <c r="J50" t="str">
        <f>TEXT(Table1[[#This Row],[Date]],"MMM")</f>
        <v>Jul</v>
      </c>
      <c r="K50">
        <f>DAY(Table1[[#This Row],[Date]])</f>
        <v>11</v>
      </c>
      <c r="L50" t="str">
        <f>TEXT(Table1[[#This Row],[Date]],"ddd")</f>
        <v>Sat</v>
      </c>
    </row>
    <row r="51" spans="1:12" x14ac:dyDescent="0.3">
      <c r="A51" s="9">
        <v>44027</v>
      </c>
      <c r="B51" s="1" t="s">
        <v>9</v>
      </c>
      <c r="C51" s="1" t="s">
        <v>12</v>
      </c>
      <c r="D51" s="1" t="s">
        <v>20</v>
      </c>
      <c r="E51" s="1">
        <v>550</v>
      </c>
      <c r="F51" s="1">
        <v>9</v>
      </c>
      <c r="G51" s="10">
        <v>4950</v>
      </c>
      <c r="H51" s="1">
        <f>Table1[[#This Row],[Price]]*Table1[[#This Row],[Units]]</f>
        <v>4950</v>
      </c>
      <c r="I51" s="1">
        <f>YEAR(Table1[[#This Row],[Date]])</f>
        <v>2020</v>
      </c>
      <c r="J51" t="str">
        <f>TEXT(Table1[[#This Row],[Date]],"MMM")</f>
        <v>Jul</v>
      </c>
      <c r="K51">
        <f>DAY(Table1[[#This Row],[Date]])</f>
        <v>15</v>
      </c>
      <c r="L51" t="str">
        <f>TEXT(Table1[[#This Row],[Date]],"ddd")</f>
        <v>Wed</v>
      </c>
    </row>
    <row r="52" spans="1:12" x14ac:dyDescent="0.3">
      <c r="A52" s="9">
        <v>44031</v>
      </c>
      <c r="B52" s="1" t="s">
        <v>11</v>
      </c>
      <c r="C52" s="1" t="s">
        <v>15</v>
      </c>
      <c r="D52" s="1" t="s">
        <v>17</v>
      </c>
      <c r="E52" s="1">
        <v>79999</v>
      </c>
      <c r="F52" s="1">
        <v>10</v>
      </c>
      <c r="G52" s="10">
        <v>799990</v>
      </c>
      <c r="H52" s="1">
        <f>Table1[[#This Row],[Price]]*Table1[[#This Row],[Units]]</f>
        <v>799990</v>
      </c>
      <c r="I52" s="1">
        <f>YEAR(Table1[[#This Row],[Date]])</f>
        <v>2020</v>
      </c>
      <c r="J52" t="str">
        <f>TEXT(Table1[[#This Row],[Date]],"MMM")</f>
        <v>Jul</v>
      </c>
      <c r="K52">
        <f>DAY(Table1[[#This Row],[Date]])</f>
        <v>19</v>
      </c>
      <c r="L52" t="str">
        <f>TEXT(Table1[[#This Row],[Date]],"ddd")</f>
        <v>Sun</v>
      </c>
    </row>
    <row r="53" spans="1:12" x14ac:dyDescent="0.3">
      <c r="A53" s="9">
        <v>44035</v>
      </c>
      <c r="B53" s="1" t="s">
        <v>22</v>
      </c>
      <c r="C53" s="1" t="s">
        <v>21</v>
      </c>
      <c r="D53" s="1" t="s">
        <v>17</v>
      </c>
      <c r="E53" s="1">
        <v>1999</v>
      </c>
      <c r="F53" s="1">
        <v>37</v>
      </c>
      <c r="G53" s="10">
        <v>73963</v>
      </c>
      <c r="H53" s="1">
        <f>Table1[[#This Row],[Price]]*Table1[[#This Row],[Units]]</f>
        <v>73963</v>
      </c>
      <c r="I53" s="1">
        <f>YEAR(Table1[[#This Row],[Date]])</f>
        <v>2020</v>
      </c>
      <c r="J53" t="str">
        <f>TEXT(Table1[[#This Row],[Date]],"MMM")</f>
        <v>Jul</v>
      </c>
      <c r="K53">
        <f>DAY(Table1[[#This Row],[Date]])</f>
        <v>23</v>
      </c>
      <c r="L53" t="str">
        <f>TEXT(Table1[[#This Row],[Date]],"ddd")</f>
        <v>Thu</v>
      </c>
    </row>
    <row r="54" spans="1:12" x14ac:dyDescent="0.3">
      <c r="A54" s="9">
        <v>44039</v>
      </c>
      <c r="B54" s="1" t="s">
        <v>18</v>
      </c>
      <c r="C54" s="1" t="s">
        <v>19</v>
      </c>
      <c r="D54" s="1" t="s">
        <v>13</v>
      </c>
      <c r="E54" s="1">
        <v>89999</v>
      </c>
      <c r="F54" s="1">
        <v>29</v>
      </c>
      <c r="G54" s="10">
        <v>2609971</v>
      </c>
      <c r="H54" s="1">
        <f>Table1[[#This Row],[Price]]*Table1[[#This Row],[Units]]</f>
        <v>2609971</v>
      </c>
      <c r="I54" s="1">
        <f>YEAR(Table1[[#This Row],[Date]])</f>
        <v>2020</v>
      </c>
      <c r="J54" t="str">
        <f>TEXT(Table1[[#This Row],[Date]],"MMM")</f>
        <v>Jul</v>
      </c>
      <c r="K54">
        <f>DAY(Table1[[#This Row],[Date]])</f>
        <v>27</v>
      </c>
      <c r="L54" t="str">
        <f>TEXT(Table1[[#This Row],[Date]],"ddd")</f>
        <v>Mon</v>
      </c>
    </row>
    <row r="55" spans="1:12" x14ac:dyDescent="0.3">
      <c r="A55" s="9">
        <v>44043</v>
      </c>
      <c r="B55" s="1" t="s">
        <v>9</v>
      </c>
      <c r="C55" s="1" t="s">
        <v>15</v>
      </c>
      <c r="D55" s="1" t="s">
        <v>17</v>
      </c>
      <c r="E55" s="1">
        <v>78500</v>
      </c>
      <c r="F55" s="1">
        <v>44</v>
      </c>
      <c r="G55" s="10">
        <v>3454000</v>
      </c>
      <c r="H55" s="1">
        <f>Table1[[#This Row],[Price]]*Table1[[#This Row],[Units]]</f>
        <v>3454000</v>
      </c>
      <c r="I55" s="1">
        <f>YEAR(Table1[[#This Row],[Date]])</f>
        <v>2020</v>
      </c>
      <c r="J55" t="str">
        <f>TEXT(Table1[[#This Row],[Date]],"MMM")</f>
        <v>Jul</v>
      </c>
      <c r="K55">
        <f>DAY(Table1[[#This Row],[Date]])</f>
        <v>31</v>
      </c>
      <c r="L55" t="str">
        <f>TEXT(Table1[[#This Row],[Date]],"ddd")</f>
        <v>Fri</v>
      </c>
    </row>
    <row r="56" spans="1:12" x14ac:dyDescent="0.3">
      <c r="A56" s="9">
        <v>44047</v>
      </c>
      <c r="B56" s="1" t="s">
        <v>18</v>
      </c>
      <c r="C56" s="1" t="s">
        <v>19</v>
      </c>
      <c r="D56" s="1" t="s">
        <v>10</v>
      </c>
      <c r="E56" s="1">
        <v>3990</v>
      </c>
      <c r="F56" s="1">
        <v>31</v>
      </c>
      <c r="G56" s="10">
        <v>123690</v>
      </c>
      <c r="H56" s="1">
        <f>Table1[[#This Row],[Price]]*Table1[[#This Row],[Units]]</f>
        <v>123690</v>
      </c>
      <c r="I56" s="1">
        <f>YEAR(Table1[[#This Row],[Date]])</f>
        <v>2020</v>
      </c>
      <c r="J56" t="str">
        <f>TEXT(Table1[[#This Row],[Date]],"MMM")</f>
        <v>Aug</v>
      </c>
      <c r="K56">
        <f>DAY(Table1[[#This Row],[Date]])</f>
        <v>4</v>
      </c>
      <c r="L56" t="str">
        <f>TEXT(Table1[[#This Row],[Date]],"ddd")</f>
        <v>Tue</v>
      </c>
    </row>
    <row r="57" spans="1:12" x14ac:dyDescent="0.3">
      <c r="A57" s="9">
        <v>44051</v>
      </c>
      <c r="B57" s="1" t="s">
        <v>11</v>
      </c>
      <c r="C57" s="1" t="s">
        <v>19</v>
      </c>
      <c r="D57" s="1" t="s">
        <v>17</v>
      </c>
      <c r="E57" s="1">
        <v>52000</v>
      </c>
      <c r="F57" s="1">
        <v>29</v>
      </c>
      <c r="G57" s="10">
        <v>1508000</v>
      </c>
      <c r="H57" s="1">
        <f>Table1[[#This Row],[Price]]*Table1[[#This Row],[Units]]</f>
        <v>1508000</v>
      </c>
      <c r="I57" s="1">
        <f>YEAR(Table1[[#This Row],[Date]])</f>
        <v>2020</v>
      </c>
      <c r="J57" t="str">
        <f>TEXT(Table1[[#This Row],[Date]],"MMM")</f>
        <v>Aug</v>
      </c>
      <c r="K57">
        <f>DAY(Table1[[#This Row],[Date]])</f>
        <v>8</v>
      </c>
      <c r="L57" t="str">
        <f>TEXT(Table1[[#This Row],[Date]],"ddd")</f>
        <v>Sat</v>
      </c>
    </row>
    <row r="58" spans="1:12" x14ac:dyDescent="0.3">
      <c r="A58" s="9">
        <v>44055</v>
      </c>
      <c r="B58" s="1" t="s">
        <v>6</v>
      </c>
      <c r="C58" s="1" t="s">
        <v>15</v>
      </c>
      <c r="D58" s="1" t="s">
        <v>17</v>
      </c>
      <c r="E58" s="1">
        <v>13999</v>
      </c>
      <c r="F58" s="1">
        <v>34</v>
      </c>
      <c r="G58" s="10">
        <v>475966</v>
      </c>
      <c r="H58" s="1">
        <f>Table1[[#This Row],[Price]]*Table1[[#This Row],[Units]]</f>
        <v>475966</v>
      </c>
      <c r="I58" s="1">
        <f>YEAR(Table1[[#This Row],[Date]])</f>
        <v>2020</v>
      </c>
      <c r="J58" t="str">
        <f>TEXT(Table1[[#This Row],[Date]],"MMM")</f>
        <v>Aug</v>
      </c>
      <c r="K58">
        <f>DAY(Table1[[#This Row],[Date]])</f>
        <v>12</v>
      </c>
      <c r="L58" t="str">
        <f>TEXT(Table1[[#This Row],[Date]],"ddd")</f>
        <v>Wed</v>
      </c>
    </row>
    <row r="59" spans="1:12" x14ac:dyDescent="0.3">
      <c r="A59" s="9">
        <v>44059</v>
      </c>
      <c r="B59" s="1" t="s">
        <v>9</v>
      </c>
      <c r="C59" s="1" t="s">
        <v>16</v>
      </c>
      <c r="D59" s="1" t="s">
        <v>10</v>
      </c>
      <c r="E59" s="1">
        <v>120</v>
      </c>
      <c r="F59" s="1">
        <v>29</v>
      </c>
      <c r="G59" s="10">
        <v>3480</v>
      </c>
      <c r="H59" s="1">
        <f>Table1[[#This Row],[Price]]*Table1[[#This Row],[Units]]</f>
        <v>3480</v>
      </c>
      <c r="I59" s="1">
        <f>YEAR(Table1[[#This Row],[Date]])</f>
        <v>2020</v>
      </c>
      <c r="J59" t="str">
        <f>TEXT(Table1[[#This Row],[Date]],"MMM")</f>
        <v>Aug</v>
      </c>
      <c r="K59">
        <f>DAY(Table1[[#This Row],[Date]])</f>
        <v>16</v>
      </c>
      <c r="L59" t="str">
        <f>TEXT(Table1[[#This Row],[Date]],"ddd")</f>
        <v>Sun</v>
      </c>
    </row>
    <row r="60" spans="1:12" x14ac:dyDescent="0.3">
      <c r="A60" s="9">
        <v>44063</v>
      </c>
      <c r="B60" s="1" t="s">
        <v>18</v>
      </c>
      <c r="C60" s="1" t="s">
        <v>12</v>
      </c>
      <c r="D60" s="1" t="s">
        <v>10</v>
      </c>
      <c r="E60" s="1">
        <v>23999</v>
      </c>
      <c r="F60" s="1">
        <v>25</v>
      </c>
      <c r="G60" s="10">
        <v>599975</v>
      </c>
      <c r="H60" s="1">
        <f>Table1[[#This Row],[Price]]*Table1[[#This Row],[Units]]</f>
        <v>599975</v>
      </c>
      <c r="I60" s="1">
        <f>YEAR(Table1[[#This Row],[Date]])</f>
        <v>2020</v>
      </c>
      <c r="J60" t="str">
        <f>TEXT(Table1[[#This Row],[Date]],"MMM")</f>
        <v>Aug</v>
      </c>
      <c r="K60">
        <f>DAY(Table1[[#This Row],[Date]])</f>
        <v>20</v>
      </c>
      <c r="L60" t="str">
        <f>TEXT(Table1[[#This Row],[Date]],"ddd")</f>
        <v>Thu</v>
      </c>
    </row>
    <row r="61" spans="1:12" x14ac:dyDescent="0.3">
      <c r="A61" s="9">
        <v>44067</v>
      </c>
      <c r="B61" s="1" t="s">
        <v>18</v>
      </c>
      <c r="C61" s="1" t="s">
        <v>15</v>
      </c>
      <c r="D61" s="1" t="s">
        <v>17</v>
      </c>
      <c r="E61" s="1">
        <v>45000</v>
      </c>
      <c r="F61" s="1">
        <v>31</v>
      </c>
      <c r="G61" s="10">
        <v>1395000</v>
      </c>
      <c r="H61" s="1">
        <f>Table1[[#This Row],[Price]]*Table1[[#This Row],[Units]]</f>
        <v>1395000</v>
      </c>
      <c r="I61" s="1">
        <f>YEAR(Table1[[#This Row],[Date]])</f>
        <v>2020</v>
      </c>
      <c r="J61" t="str">
        <f>TEXT(Table1[[#This Row],[Date]],"MMM")</f>
        <v>Aug</v>
      </c>
      <c r="K61">
        <f>DAY(Table1[[#This Row],[Date]])</f>
        <v>24</v>
      </c>
      <c r="L61" t="str">
        <f>TEXT(Table1[[#This Row],[Date]],"ddd")</f>
        <v>Mon</v>
      </c>
    </row>
    <row r="62" spans="1:12" x14ac:dyDescent="0.3">
      <c r="A62" s="9">
        <v>44071</v>
      </c>
      <c r="B62" s="1" t="s">
        <v>9</v>
      </c>
      <c r="C62" s="1" t="s">
        <v>21</v>
      </c>
      <c r="D62" s="1" t="s">
        <v>10</v>
      </c>
      <c r="E62" s="1">
        <v>450</v>
      </c>
      <c r="F62" s="1">
        <v>16</v>
      </c>
      <c r="G62" s="10">
        <v>7200</v>
      </c>
      <c r="H62" s="1">
        <f>Table1[[#This Row],[Price]]*Table1[[#This Row],[Units]]</f>
        <v>7200</v>
      </c>
      <c r="I62" s="1">
        <f>YEAR(Table1[[#This Row],[Date]])</f>
        <v>2020</v>
      </c>
      <c r="J62" t="str">
        <f>TEXT(Table1[[#This Row],[Date]],"MMM")</f>
        <v>Aug</v>
      </c>
      <c r="K62">
        <f>DAY(Table1[[#This Row],[Date]])</f>
        <v>28</v>
      </c>
      <c r="L62" t="str">
        <f>TEXT(Table1[[#This Row],[Date]],"ddd")</f>
        <v>Fri</v>
      </c>
    </row>
    <row r="63" spans="1:12" x14ac:dyDescent="0.3">
      <c r="A63" s="9">
        <v>44075</v>
      </c>
      <c r="B63" s="1" t="s">
        <v>14</v>
      </c>
      <c r="C63" s="1" t="s">
        <v>16</v>
      </c>
      <c r="D63" s="1" t="s">
        <v>17</v>
      </c>
      <c r="E63" s="1">
        <v>65000</v>
      </c>
      <c r="F63" s="1">
        <v>48</v>
      </c>
      <c r="G63" s="10">
        <v>3120000</v>
      </c>
      <c r="H63" s="1">
        <f>Table1[[#This Row],[Price]]*Table1[[#This Row],[Units]]</f>
        <v>3120000</v>
      </c>
      <c r="I63" s="1">
        <f>YEAR(Table1[[#This Row],[Date]])</f>
        <v>2020</v>
      </c>
      <c r="J63" t="str">
        <f>TEXT(Table1[[#This Row],[Date]],"MMM")</f>
        <v>Sep</v>
      </c>
      <c r="K63">
        <f>DAY(Table1[[#This Row],[Date]])</f>
        <v>1</v>
      </c>
      <c r="L63" t="str">
        <f>TEXT(Table1[[#This Row],[Date]],"ddd")</f>
        <v>Tue</v>
      </c>
    </row>
    <row r="64" spans="1:12" x14ac:dyDescent="0.3">
      <c r="A64" s="9">
        <v>44079</v>
      </c>
      <c r="B64" s="1" t="s">
        <v>11</v>
      </c>
      <c r="C64" s="1" t="s">
        <v>15</v>
      </c>
      <c r="D64" s="1" t="s">
        <v>20</v>
      </c>
      <c r="E64" s="1">
        <v>35600</v>
      </c>
      <c r="F64" s="1">
        <v>22</v>
      </c>
      <c r="G64" s="10">
        <v>783200</v>
      </c>
      <c r="H64" s="1">
        <f>Table1[[#This Row],[Price]]*Table1[[#This Row],[Units]]</f>
        <v>783200</v>
      </c>
      <c r="I64" s="1">
        <f>YEAR(Table1[[#This Row],[Date]])</f>
        <v>2020</v>
      </c>
      <c r="J64" t="str">
        <f>TEXT(Table1[[#This Row],[Date]],"MMM")</f>
        <v>Sep</v>
      </c>
      <c r="K64">
        <f>DAY(Table1[[#This Row],[Date]])</f>
        <v>5</v>
      </c>
      <c r="L64" t="str">
        <f>TEXT(Table1[[#This Row],[Date]],"ddd")</f>
        <v>Sat</v>
      </c>
    </row>
    <row r="65" spans="1:12" x14ac:dyDescent="0.3">
      <c r="A65" s="9">
        <v>44083</v>
      </c>
      <c r="B65" s="1" t="s">
        <v>22</v>
      </c>
      <c r="C65" s="1" t="s">
        <v>21</v>
      </c>
      <c r="D65" s="1" t="s">
        <v>13</v>
      </c>
      <c r="E65" s="1">
        <v>699</v>
      </c>
      <c r="F65" s="1">
        <v>6</v>
      </c>
      <c r="G65" s="10">
        <v>4194</v>
      </c>
      <c r="H65" s="1">
        <f>Table1[[#This Row],[Price]]*Table1[[#This Row],[Units]]</f>
        <v>4194</v>
      </c>
      <c r="I65" s="1">
        <f>YEAR(Table1[[#This Row],[Date]])</f>
        <v>2020</v>
      </c>
      <c r="J65" t="str">
        <f>TEXT(Table1[[#This Row],[Date]],"MMM")</f>
        <v>Sep</v>
      </c>
      <c r="K65">
        <f>DAY(Table1[[#This Row],[Date]])</f>
        <v>9</v>
      </c>
      <c r="L65" t="str">
        <f>TEXT(Table1[[#This Row],[Date]],"ddd")</f>
        <v>Wed</v>
      </c>
    </row>
    <row r="66" spans="1:12" x14ac:dyDescent="0.3">
      <c r="A66" s="9">
        <v>44087</v>
      </c>
      <c r="B66" s="1" t="s">
        <v>9</v>
      </c>
      <c r="C66" s="1" t="s">
        <v>21</v>
      </c>
      <c r="D66" s="1" t="s">
        <v>10</v>
      </c>
      <c r="E66" s="1">
        <v>990</v>
      </c>
      <c r="F66" s="1">
        <v>12</v>
      </c>
      <c r="G66" s="10">
        <v>11880</v>
      </c>
      <c r="H66" s="1">
        <f>Table1[[#This Row],[Price]]*Table1[[#This Row],[Units]]</f>
        <v>11880</v>
      </c>
      <c r="I66" s="1">
        <f>YEAR(Table1[[#This Row],[Date]])</f>
        <v>2020</v>
      </c>
      <c r="J66" t="str">
        <f>TEXT(Table1[[#This Row],[Date]],"MMM")</f>
        <v>Sep</v>
      </c>
      <c r="K66">
        <f>DAY(Table1[[#This Row],[Date]])</f>
        <v>13</v>
      </c>
      <c r="L66" t="str">
        <f>TEXT(Table1[[#This Row],[Date]],"ddd")</f>
        <v>Sun</v>
      </c>
    </row>
    <row r="67" spans="1:12" x14ac:dyDescent="0.3">
      <c r="A67" s="9">
        <v>44091</v>
      </c>
      <c r="B67" s="1" t="s">
        <v>22</v>
      </c>
      <c r="C67" s="1" t="s">
        <v>15</v>
      </c>
      <c r="D67" s="1" t="s">
        <v>8</v>
      </c>
      <c r="E67" s="1">
        <v>450</v>
      </c>
      <c r="F67" s="1">
        <v>44</v>
      </c>
      <c r="G67" s="10">
        <v>19800</v>
      </c>
      <c r="H67" s="1">
        <f>Table1[[#This Row],[Price]]*Table1[[#This Row],[Units]]</f>
        <v>19800</v>
      </c>
      <c r="I67" s="1">
        <f>YEAR(Table1[[#This Row],[Date]])</f>
        <v>2020</v>
      </c>
      <c r="J67" t="str">
        <f>TEXT(Table1[[#This Row],[Date]],"MMM")</f>
        <v>Sep</v>
      </c>
      <c r="K67">
        <f>DAY(Table1[[#This Row],[Date]])</f>
        <v>17</v>
      </c>
      <c r="L67" t="str">
        <f>TEXT(Table1[[#This Row],[Date]],"ddd")</f>
        <v>Thu</v>
      </c>
    </row>
    <row r="68" spans="1:12" x14ac:dyDescent="0.3">
      <c r="A68" s="9">
        <v>44095</v>
      </c>
      <c r="B68" s="1" t="s">
        <v>22</v>
      </c>
      <c r="C68" s="1" t="s">
        <v>21</v>
      </c>
      <c r="D68" s="1" t="s">
        <v>13</v>
      </c>
      <c r="E68" s="1">
        <v>1499</v>
      </c>
      <c r="F68" s="1">
        <v>15</v>
      </c>
      <c r="G68" s="10">
        <v>22485</v>
      </c>
      <c r="H68" s="1">
        <f>Table1[[#This Row],[Price]]*Table1[[#This Row],[Units]]</f>
        <v>22485</v>
      </c>
      <c r="I68" s="1">
        <f>YEAR(Table1[[#This Row],[Date]])</f>
        <v>2020</v>
      </c>
      <c r="J68" t="str">
        <f>TEXT(Table1[[#This Row],[Date]],"MMM")</f>
        <v>Sep</v>
      </c>
      <c r="K68">
        <f>DAY(Table1[[#This Row],[Date]])</f>
        <v>21</v>
      </c>
      <c r="L68" t="str">
        <f>TEXT(Table1[[#This Row],[Date]],"ddd")</f>
        <v>Mon</v>
      </c>
    </row>
    <row r="69" spans="1:12" x14ac:dyDescent="0.3">
      <c r="A69" s="9">
        <v>44099</v>
      </c>
      <c r="B69" s="1" t="s">
        <v>6</v>
      </c>
      <c r="C69" s="1" t="s">
        <v>7</v>
      </c>
      <c r="D69" s="1" t="s">
        <v>20</v>
      </c>
      <c r="E69" s="1">
        <v>499</v>
      </c>
      <c r="F69" s="1">
        <v>26</v>
      </c>
      <c r="G69" s="10">
        <v>12974</v>
      </c>
      <c r="H69" s="1">
        <f>Table1[[#This Row],[Price]]*Table1[[#This Row],[Units]]</f>
        <v>12974</v>
      </c>
      <c r="I69" s="1">
        <f>YEAR(Table1[[#This Row],[Date]])</f>
        <v>2020</v>
      </c>
      <c r="J69" t="str">
        <f>TEXT(Table1[[#This Row],[Date]],"MMM")</f>
        <v>Sep</v>
      </c>
      <c r="K69">
        <f>DAY(Table1[[#This Row],[Date]])</f>
        <v>25</v>
      </c>
      <c r="L69" t="str">
        <f>TEXT(Table1[[#This Row],[Date]],"ddd")</f>
        <v>Fri</v>
      </c>
    </row>
    <row r="70" spans="1:12" x14ac:dyDescent="0.3">
      <c r="A70" s="9">
        <v>44103</v>
      </c>
      <c r="B70" s="1" t="s">
        <v>11</v>
      </c>
      <c r="C70" s="1" t="s">
        <v>15</v>
      </c>
      <c r="D70" s="1" t="s">
        <v>20</v>
      </c>
      <c r="E70" s="1">
        <v>44000</v>
      </c>
      <c r="F70" s="1">
        <v>16</v>
      </c>
      <c r="G70" s="10">
        <v>704000</v>
      </c>
      <c r="H70" s="1">
        <f>Table1[[#This Row],[Price]]*Table1[[#This Row],[Units]]</f>
        <v>704000</v>
      </c>
      <c r="I70" s="1">
        <f>YEAR(Table1[[#This Row],[Date]])</f>
        <v>2020</v>
      </c>
      <c r="J70" t="str">
        <f>TEXT(Table1[[#This Row],[Date]],"MMM")</f>
        <v>Sep</v>
      </c>
      <c r="K70">
        <f>DAY(Table1[[#This Row],[Date]])</f>
        <v>29</v>
      </c>
      <c r="L70" t="str">
        <f>TEXT(Table1[[#This Row],[Date]],"ddd")</f>
        <v>Tue</v>
      </c>
    </row>
    <row r="71" spans="1:12" x14ac:dyDescent="0.3">
      <c r="A71" s="9">
        <v>44107</v>
      </c>
      <c r="B71" s="1" t="s">
        <v>6</v>
      </c>
      <c r="C71" s="1" t="s">
        <v>7</v>
      </c>
      <c r="D71" s="1" t="s">
        <v>17</v>
      </c>
      <c r="E71" s="1">
        <v>5599</v>
      </c>
      <c r="F71" s="1">
        <v>35</v>
      </c>
      <c r="G71" s="10">
        <v>195965</v>
      </c>
      <c r="H71" s="1">
        <f>Table1[[#This Row],[Price]]*Table1[[#This Row],[Units]]</f>
        <v>195965</v>
      </c>
      <c r="I71" s="1">
        <f>YEAR(Table1[[#This Row],[Date]])</f>
        <v>2020</v>
      </c>
      <c r="J71" t="str">
        <f>TEXT(Table1[[#This Row],[Date]],"MMM")</f>
        <v>Oct</v>
      </c>
      <c r="K71">
        <f>DAY(Table1[[#This Row],[Date]])</f>
        <v>3</v>
      </c>
      <c r="L71" t="str">
        <f>TEXT(Table1[[#This Row],[Date]],"ddd")</f>
        <v>Sat</v>
      </c>
    </row>
    <row r="72" spans="1:12" x14ac:dyDescent="0.3">
      <c r="A72" s="9">
        <v>44111</v>
      </c>
      <c r="B72" s="1" t="s">
        <v>14</v>
      </c>
      <c r="C72" s="1" t="s">
        <v>15</v>
      </c>
      <c r="D72" s="1" t="s">
        <v>8</v>
      </c>
      <c r="E72" s="1">
        <v>54100</v>
      </c>
      <c r="F72" s="1">
        <v>36</v>
      </c>
      <c r="G72" s="10">
        <v>1947600</v>
      </c>
      <c r="H72" s="1">
        <f>Table1[[#This Row],[Price]]*Table1[[#This Row],[Units]]</f>
        <v>1947600</v>
      </c>
      <c r="I72" s="1">
        <f>YEAR(Table1[[#This Row],[Date]])</f>
        <v>2020</v>
      </c>
      <c r="J72" t="str">
        <f>TEXT(Table1[[#This Row],[Date]],"MMM")</f>
        <v>Oct</v>
      </c>
      <c r="K72">
        <f>DAY(Table1[[#This Row],[Date]])</f>
        <v>7</v>
      </c>
      <c r="L72" t="str">
        <f>TEXT(Table1[[#This Row],[Date]],"ddd")</f>
        <v>Wed</v>
      </c>
    </row>
    <row r="73" spans="1:12" x14ac:dyDescent="0.3">
      <c r="A73" s="9">
        <v>44115</v>
      </c>
      <c r="B73" s="1" t="s">
        <v>6</v>
      </c>
      <c r="C73" s="1" t="s">
        <v>7</v>
      </c>
      <c r="D73" s="1" t="s">
        <v>13</v>
      </c>
      <c r="E73" s="1">
        <v>2550</v>
      </c>
      <c r="F73" s="1">
        <v>20</v>
      </c>
      <c r="G73" s="10">
        <v>51000</v>
      </c>
      <c r="H73" s="1">
        <f>Table1[[#This Row],[Price]]*Table1[[#This Row],[Units]]</f>
        <v>51000</v>
      </c>
      <c r="I73" s="1">
        <f>YEAR(Table1[[#This Row],[Date]])</f>
        <v>2020</v>
      </c>
      <c r="J73" t="str">
        <f>TEXT(Table1[[#This Row],[Date]],"MMM")</f>
        <v>Oct</v>
      </c>
      <c r="K73">
        <f>DAY(Table1[[#This Row],[Date]])</f>
        <v>11</v>
      </c>
      <c r="L73" t="str">
        <f>TEXT(Table1[[#This Row],[Date]],"ddd")</f>
        <v>Sun</v>
      </c>
    </row>
    <row r="74" spans="1:12" x14ac:dyDescent="0.3">
      <c r="A74" s="9">
        <v>44119</v>
      </c>
      <c r="B74" s="1" t="s">
        <v>9</v>
      </c>
      <c r="C74" s="1" t="s">
        <v>15</v>
      </c>
      <c r="D74" s="1" t="s">
        <v>13</v>
      </c>
      <c r="E74" s="1">
        <v>1450</v>
      </c>
      <c r="F74" s="1">
        <v>47</v>
      </c>
      <c r="G74" s="10">
        <v>68150</v>
      </c>
      <c r="H74" s="1">
        <f>Table1[[#This Row],[Price]]*Table1[[#This Row],[Units]]</f>
        <v>68150</v>
      </c>
      <c r="I74" s="1">
        <f>YEAR(Table1[[#This Row],[Date]])</f>
        <v>2020</v>
      </c>
      <c r="J74" t="str">
        <f>TEXT(Table1[[#This Row],[Date]],"MMM")</f>
        <v>Oct</v>
      </c>
      <c r="K74">
        <f>DAY(Table1[[#This Row],[Date]])</f>
        <v>15</v>
      </c>
      <c r="L74" t="str">
        <f>TEXT(Table1[[#This Row],[Date]],"ddd")</f>
        <v>Thu</v>
      </c>
    </row>
    <row r="75" spans="1:12" x14ac:dyDescent="0.3">
      <c r="A75" s="9">
        <v>44123</v>
      </c>
      <c r="B75" s="1" t="s">
        <v>22</v>
      </c>
      <c r="C75" s="1" t="s">
        <v>21</v>
      </c>
      <c r="D75" s="1" t="s">
        <v>17</v>
      </c>
      <c r="E75" s="1">
        <v>2900</v>
      </c>
      <c r="F75" s="1">
        <v>6</v>
      </c>
      <c r="G75" s="10">
        <v>17400</v>
      </c>
      <c r="H75" s="1">
        <f>Table1[[#This Row],[Price]]*Table1[[#This Row],[Units]]</f>
        <v>17400</v>
      </c>
      <c r="I75" s="1">
        <f>YEAR(Table1[[#This Row],[Date]])</f>
        <v>2020</v>
      </c>
      <c r="J75" t="str">
        <f>TEXT(Table1[[#This Row],[Date]],"MMM")</f>
        <v>Oct</v>
      </c>
      <c r="K75">
        <f>DAY(Table1[[#This Row],[Date]])</f>
        <v>19</v>
      </c>
      <c r="L75" t="str">
        <f>TEXT(Table1[[#This Row],[Date]],"ddd")</f>
        <v>Mon</v>
      </c>
    </row>
    <row r="76" spans="1:12" x14ac:dyDescent="0.3">
      <c r="A76" s="9">
        <v>44127</v>
      </c>
      <c r="B76" s="1" t="s">
        <v>14</v>
      </c>
      <c r="C76" s="1" t="s">
        <v>15</v>
      </c>
      <c r="D76" s="1" t="s">
        <v>20</v>
      </c>
      <c r="E76" s="1">
        <v>65200</v>
      </c>
      <c r="F76" s="1">
        <v>6</v>
      </c>
      <c r="G76" s="10">
        <v>391200</v>
      </c>
      <c r="H76" s="1">
        <f>Table1[[#This Row],[Price]]*Table1[[#This Row],[Units]]</f>
        <v>391200</v>
      </c>
      <c r="I76" s="1">
        <f>YEAR(Table1[[#This Row],[Date]])</f>
        <v>2020</v>
      </c>
      <c r="J76" t="str">
        <f>TEXT(Table1[[#This Row],[Date]],"MMM")</f>
        <v>Oct</v>
      </c>
      <c r="K76">
        <f>DAY(Table1[[#This Row],[Date]])</f>
        <v>23</v>
      </c>
      <c r="L76" t="str">
        <f>TEXT(Table1[[#This Row],[Date]],"ddd")</f>
        <v>Fri</v>
      </c>
    </row>
    <row r="77" spans="1:12" x14ac:dyDescent="0.3">
      <c r="A77" s="9">
        <v>44131</v>
      </c>
      <c r="B77" s="1" t="s">
        <v>9</v>
      </c>
      <c r="C77" s="1" t="s">
        <v>19</v>
      </c>
      <c r="D77" s="1" t="s">
        <v>20</v>
      </c>
      <c r="E77" s="1">
        <v>52000</v>
      </c>
      <c r="F77" s="1">
        <v>41</v>
      </c>
      <c r="G77" s="10">
        <v>2132000</v>
      </c>
      <c r="H77" s="1">
        <f>Table1[[#This Row],[Price]]*Table1[[#This Row],[Units]]</f>
        <v>2132000</v>
      </c>
      <c r="I77" s="1">
        <f>YEAR(Table1[[#This Row],[Date]])</f>
        <v>2020</v>
      </c>
      <c r="J77" t="str">
        <f>TEXT(Table1[[#This Row],[Date]],"MMM")</f>
        <v>Oct</v>
      </c>
      <c r="K77">
        <f>DAY(Table1[[#This Row],[Date]])</f>
        <v>27</v>
      </c>
      <c r="L77" t="str">
        <f>TEXT(Table1[[#This Row],[Date]],"ddd")</f>
        <v>Tue</v>
      </c>
    </row>
    <row r="78" spans="1:12" x14ac:dyDescent="0.3">
      <c r="A78" s="9">
        <v>44135</v>
      </c>
      <c r="B78" s="1" t="s">
        <v>11</v>
      </c>
      <c r="C78" s="1" t="s">
        <v>15</v>
      </c>
      <c r="D78" s="1" t="s">
        <v>10</v>
      </c>
      <c r="E78" s="1">
        <v>59000</v>
      </c>
      <c r="F78" s="1">
        <v>29</v>
      </c>
      <c r="G78" s="10">
        <v>1711000</v>
      </c>
      <c r="H78" s="1">
        <f>Table1[[#This Row],[Price]]*Table1[[#This Row],[Units]]</f>
        <v>1711000</v>
      </c>
      <c r="I78" s="1">
        <f>YEAR(Table1[[#This Row],[Date]])</f>
        <v>2020</v>
      </c>
      <c r="J78" t="str">
        <f>TEXT(Table1[[#This Row],[Date]],"MMM")</f>
        <v>Oct</v>
      </c>
      <c r="K78">
        <f>DAY(Table1[[#This Row],[Date]])</f>
        <v>31</v>
      </c>
      <c r="L78" t="str">
        <f>TEXT(Table1[[#This Row],[Date]],"ddd")</f>
        <v>Sat</v>
      </c>
    </row>
    <row r="79" spans="1:12" x14ac:dyDescent="0.3">
      <c r="A79" s="9">
        <v>44139</v>
      </c>
      <c r="B79" s="1" t="s">
        <v>18</v>
      </c>
      <c r="C79" s="1" t="s">
        <v>12</v>
      </c>
      <c r="D79" s="1" t="s">
        <v>20</v>
      </c>
      <c r="E79" s="1">
        <v>7999</v>
      </c>
      <c r="F79" s="1">
        <v>31</v>
      </c>
      <c r="G79" s="10">
        <v>247969</v>
      </c>
      <c r="H79" s="1">
        <f>Table1[[#This Row],[Price]]*Table1[[#This Row],[Units]]</f>
        <v>247969</v>
      </c>
      <c r="I79" s="1">
        <f>YEAR(Table1[[#This Row],[Date]])</f>
        <v>2020</v>
      </c>
      <c r="J79" t="str">
        <f>TEXT(Table1[[#This Row],[Date]],"MMM")</f>
        <v>Nov</v>
      </c>
      <c r="K79">
        <f>DAY(Table1[[#This Row],[Date]])</f>
        <v>4</v>
      </c>
      <c r="L79" t="str">
        <f>TEXT(Table1[[#This Row],[Date]],"ddd")</f>
        <v>Wed</v>
      </c>
    </row>
    <row r="80" spans="1:12" x14ac:dyDescent="0.3">
      <c r="A80" s="9">
        <v>44143</v>
      </c>
      <c r="B80" s="1" t="s">
        <v>9</v>
      </c>
      <c r="C80" s="1" t="s">
        <v>16</v>
      </c>
      <c r="D80" s="1" t="s">
        <v>10</v>
      </c>
      <c r="E80" s="1">
        <v>45000</v>
      </c>
      <c r="F80" s="1">
        <v>34</v>
      </c>
      <c r="G80" s="10">
        <v>1530000</v>
      </c>
      <c r="H80" s="1">
        <f>Table1[[#This Row],[Price]]*Table1[[#This Row],[Units]]</f>
        <v>1530000</v>
      </c>
      <c r="I80" s="1">
        <f>YEAR(Table1[[#This Row],[Date]])</f>
        <v>2020</v>
      </c>
      <c r="J80" t="str">
        <f>TEXT(Table1[[#This Row],[Date]],"MMM")</f>
        <v>Nov</v>
      </c>
      <c r="K80">
        <f>DAY(Table1[[#This Row],[Date]])</f>
        <v>8</v>
      </c>
      <c r="L80" t="str">
        <f>TEXT(Table1[[#This Row],[Date]],"ddd")</f>
        <v>Sun</v>
      </c>
    </row>
    <row r="81" spans="1:12" x14ac:dyDescent="0.3">
      <c r="A81" s="9">
        <v>44147</v>
      </c>
      <c r="B81" s="1" t="s">
        <v>22</v>
      </c>
      <c r="C81" s="1" t="s">
        <v>21</v>
      </c>
      <c r="D81" s="1" t="s">
        <v>8</v>
      </c>
      <c r="E81" s="1">
        <v>990</v>
      </c>
      <c r="F81" s="1">
        <v>43</v>
      </c>
      <c r="G81" s="10">
        <v>42570</v>
      </c>
      <c r="H81" s="1">
        <f>Table1[[#This Row],[Price]]*Table1[[#This Row],[Units]]</f>
        <v>42570</v>
      </c>
      <c r="I81" s="1">
        <f>YEAR(Table1[[#This Row],[Date]])</f>
        <v>2020</v>
      </c>
      <c r="J81" t="str">
        <f>TEXT(Table1[[#This Row],[Date]],"MMM")</f>
        <v>Nov</v>
      </c>
      <c r="K81">
        <f>DAY(Table1[[#This Row],[Date]])</f>
        <v>12</v>
      </c>
      <c r="L81" t="str">
        <f>TEXT(Table1[[#This Row],[Date]],"ddd")</f>
        <v>Thu</v>
      </c>
    </row>
    <row r="82" spans="1:12" x14ac:dyDescent="0.3">
      <c r="A82" s="9">
        <v>44151</v>
      </c>
      <c r="B82" s="1" t="s">
        <v>18</v>
      </c>
      <c r="C82" s="1" t="s">
        <v>19</v>
      </c>
      <c r="D82" s="1" t="s">
        <v>8</v>
      </c>
      <c r="E82" s="1">
        <v>11999</v>
      </c>
      <c r="F82" s="1">
        <v>37</v>
      </c>
      <c r="G82" s="10">
        <v>443963</v>
      </c>
      <c r="H82" s="1">
        <f>Table1[[#This Row],[Price]]*Table1[[#This Row],[Units]]</f>
        <v>443963</v>
      </c>
      <c r="I82" s="1">
        <f>YEAR(Table1[[#This Row],[Date]])</f>
        <v>2020</v>
      </c>
      <c r="J82" t="str">
        <f>TEXT(Table1[[#This Row],[Date]],"MMM")</f>
        <v>Nov</v>
      </c>
      <c r="K82">
        <f>DAY(Table1[[#This Row],[Date]])</f>
        <v>16</v>
      </c>
      <c r="L82" t="str">
        <f>TEXT(Table1[[#This Row],[Date]],"ddd")</f>
        <v>Mon</v>
      </c>
    </row>
    <row r="83" spans="1:12" x14ac:dyDescent="0.3">
      <c r="A83" s="9">
        <v>44155</v>
      </c>
      <c r="B83" s="1" t="s">
        <v>18</v>
      </c>
      <c r="C83" s="1" t="s">
        <v>12</v>
      </c>
      <c r="D83" s="1" t="s">
        <v>8</v>
      </c>
      <c r="E83" s="1">
        <v>960</v>
      </c>
      <c r="F83" s="1">
        <v>7</v>
      </c>
      <c r="G83" s="10">
        <v>6720</v>
      </c>
      <c r="H83" s="1">
        <f>Table1[[#This Row],[Price]]*Table1[[#This Row],[Units]]</f>
        <v>6720</v>
      </c>
      <c r="I83" s="1">
        <f>YEAR(Table1[[#This Row],[Date]])</f>
        <v>2020</v>
      </c>
      <c r="J83" t="str">
        <f>TEXT(Table1[[#This Row],[Date]],"MMM")</f>
        <v>Nov</v>
      </c>
      <c r="K83">
        <f>DAY(Table1[[#This Row],[Date]])</f>
        <v>20</v>
      </c>
      <c r="L83" t="str">
        <f>TEXT(Table1[[#This Row],[Date]],"ddd")</f>
        <v>Fri</v>
      </c>
    </row>
    <row r="84" spans="1:12" x14ac:dyDescent="0.3">
      <c r="A84" s="9">
        <v>44159</v>
      </c>
      <c r="B84" s="1" t="s">
        <v>9</v>
      </c>
      <c r="C84" s="1" t="s">
        <v>7</v>
      </c>
      <c r="D84" s="1" t="s">
        <v>13</v>
      </c>
      <c r="E84" s="1">
        <v>1450</v>
      </c>
      <c r="F84" s="1">
        <v>19</v>
      </c>
      <c r="G84" s="10">
        <v>27550</v>
      </c>
      <c r="H84" s="1">
        <f>Table1[[#This Row],[Price]]*Table1[[#This Row],[Units]]</f>
        <v>27550</v>
      </c>
      <c r="I84" s="1">
        <f>YEAR(Table1[[#This Row],[Date]])</f>
        <v>2020</v>
      </c>
      <c r="J84" t="str">
        <f>TEXT(Table1[[#This Row],[Date]],"MMM")</f>
        <v>Nov</v>
      </c>
      <c r="K84">
        <f>DAY(Table1[[#This Row],[Date]])</f>
        <v>24</v>
      </c>
      <c r="L84" t="str">
        <f>TEXT(Table1[[#This Row],[Date]],"ddd")</f>
        <v>Tue</v>
      </c>
    </row>
    <row r="85" spans="1:12" x14ac:dyDescent="0.3">
      <c r="A85" s="9">
        <v>44163</v>
      </c>
      <c r="B85" s="1" t="s">
        <v>11</v>
      </c>
      <c r="C85" s="1" t="s">
        <v>15</v>
      </c>
      <c r="D85" s="1" t="s">
        <v>10</v>
      </c>
      <c r="E85" s="1">
        <v>45000</v>
      </c>
      <c r="F85" s="1">
        <v>47</v>
      </c>
      <c r="G85" s="10">
        <v>2115000</v>
      </c>
      <c r="H85" s="1">
        <f>Table1[[#This Row],[Price]]*Table1[[#This Row],[Units]]</f>
        <v>2115000</v>
      </c>
      <c r="I85" s="1">
        <f>YEAR(Table1[[#This Row],[Date]])</f>
        <v>2020</v>
      </c>
      <c r="J85" t="str">
        <f>TEXT(Table1[[#This Row],[Date]],"MMM")</f>
        <v>Nov</v>
      </c>
      <c r="K85">
        <f>DAY(Table1[[#This Row],[Date]])</f>
        <v>28</v>
      </c>
      <c r="L85" t="str">
        <f>TEXT(Table1[[#This Row],[Date]],"ddd")</f>
        <v>Sat</v>
      </c>
    </row>
    <row r="86" spans="1:12" x14ac:dyDescent="0.3">
      <c r="A86" s="9">
        <v>44167</v>
      </c>
      <c r="B86" s="1" t="s">
        <v>9</v>
      </c>
      <c r="C86" s="1" t="s">
        <v>21</v>
      </c>
      <c r="D86" s="1" t="s">
        <v>10</v>
      </c>
      <c r="E86" s="1">
        <v>1499</v>
      </c>
      <c r="F86" s="1">
        <v>37</v>
      </c>
      <c r="G86" s="10">
        <v>55463</v>
      </c>
      <c r="H86" s="1">
        <f>Table1[[#This Row],[Price]]*Table1[[#This Row],[Units]]</f>
        <v>55463</v>
      </c>
      <c r="I86" s="1">
        <f>YEAR(Table1[[#This Row],[Date]])</f>
        <v>2020</v>
      </c>
      <c r="J86" t="str">
        <f>TEXT(Table1[[#This Row],[Date]],"MMM")</f>
        <v>Dec</v>
      </c>
      <c r="K86">
        <f>DAY(Table1[[#This Row],[Date]])</f>
        <v>2</v>
      </c>
      <c r="L86" t="str">
        <f>TEXT(Table1[[#This Row],[Date]],"ddd")</f>
        <v>Wed</v>
      </c>
    </row>
    <row r="87" spans="1:12" x14ac:dyDescent="0.3">
      <c r="A87" s="9">
        <v>44171</v>
      </c>
      <c r="B87" s="1" t="s">
        <v>18</v>
      </c>
      <c r="C87" s="1" t="s">
        <v>19</v>
      </c>
      <c r="D87" s="1" t="s">
        <v>13</v>
      </c>
      <c r="E87" s="1">
        <v>79999</v>
      </c>
      <c r="F87" s="1">
        <v>4</v>
      </c>
      <c r="G87" s="10">
        <v>319996</v>
      </c>
      <c r="H87" s="1">
        <f>Table1[[#This Row],[Price]]*Table1[[#This Row],[Units]]</f>
        <v>319996</v>
      </c>
      <c r="I87" s="1">
        <f>YEAR(Table1[[#This Row],[Date]])</f>
        <v>2020</v>
      </c>
      <c r="J87" t="str">
        <f>TEXT(Table1[[#This Row],[Date]],"MMM")</f>
        <v>Dec</v>
      </c>
      <c r="K87">
        <f>DAY(Table1[[#This Row],[Date]])</f>
        <v>6</v>
      </c>
      <c r="L87" t="str">
        <f>TEXT(Table1[[#This Row],[Date]],"ddd")</f>
        <v>Sun</v>
      </c>
    </row>
    <row r="88" spans="1:12" x14ac:dyDescent="0.3">
      <c r="A88" s="9">
        <v>44175</v>
      </c>
      <c r="B88" s="1" t="s">
        <v>14</v>
      </c>
      <c r="C88" s="1" t="s">
        <v>15</v>
      </c>
      <c r="D88" s="1" t="s">
        <v>20</v>
      </c>
      <c r="E88" s="1">
        <v>999</v>
      </c>
      <c r="F88" s="1">
        <v>45</v>
      </c>
      <c r="G88" s="10">
        <v>44955</v>
      </c>
      <c r="H88" s="1">
        <f>Table1[[#This Row],[Price]]*Table1[[#This Row],[Units]]</f>
        <v>44955</v>
      </c>
      <c r="I88" s="1">
        <f>YEAR(Table1[[#This Row],[Date]])</f>
        <v>2020</v>
      </c>
      <c r="J88" t="str">
        <f>TEXT(Table1[[#This Row],[Date]],"MMM")</f>
        <v>Dec</v>
      </c>
      <c r="K88">
        <f>DAY(Table1[[#This Row],[Date]])</f>
        <v>10</v>
      </c>
      <c r="L88" t="str">
        <f>TEXT(Table1[[#This Row],[Date]],"ddd")</f>
        <v>Thu</v>
      </c>
    </row>
    <row r="89" spans="1:12" x14ac:dyDescent="0.3">
      <c r="A89" s="9">
        <v>44179</v>
      </c>
      <c r="B89" s="1" t="s">
        <v>9</v>
      </c>
      <c r="C89" s="1" t="s">
        <v>19</v>
      </c>
      <c r="D89" s="1" t="s">
        <v>8</v>
      </c>
      <c r="E89" s="1">
        <v>52000</v>
      </c>
      <c r="F89" s="1">
        <v>15</v>
      </c>
      <c r="G89" s="10">
        <v>780000</v>
      </c>
      <c r="H89" s="1">
        <f>Table1[[#This Row],[Price]]*Table1[[#This Row],[Units]]</f>
        <v>780000</v>
      </c>
      <c r="I89" s="1">
        <f>YEAR(Table1[[#This Row],[Date]])</f>
        <v>2020</v>
      </c>
      <c r="J89" t="str">
        <f>TEXT(Table1[[#This Row],[Date]],"MMM")</f>
        <v>Dec</v>
      </c>
      <c r="K89">
        <f>DAY(Table1[[#This Row],[Date]])</f>
        <v>14</v>
      </c>
      <c r="L89" t="str">
        <f>TEXT(Table1[[#This Row],[Date]],"ddd")</f>
        <v>Mon</v>
      </c>
    </row>
    <row r="90" spans="1:12" x14ac:dyDescent="0.3">
      <c r="A90" s="9">
        <v>44183</v>
      </c>
      <c r="B90" s="1" t="s">
        <v>11</v>
      </c>
      <c r="C90" s="1" t="s">
        <v>15</v>
      </c>
      <c r="D90" s="1" t="s">
        <v>17</v>
      </c>
      <c r="E90" s="1">
        <v>52000</v>
      </c>
      <c r="F90" s="1">
        <v>39</v>
      </c>
      <c r="G90" s="10">
        <v>2028000</v>
      </c>
      <c r="H90" s="1">
        <f>Table1[[#This Row],[Price]]*Table1[[#This Row],[Units]]</f>
        <v>2028000</v>
      </c>
      <c r="I90" s="1">
        <f>YEAR(Table1[[#This Row],[Date]])</f>
        <v>2020</v>
      </c>
      <c r="J90" t="str">
        <f>TEXT(Table1[[#This Row],[Date]],"MMM")</f>
        <v>Dec</v>
      </c>
      <c r="K90">
        <f>DAY(Table1[[#This Row],[Date]])</f>
        <v>18</v>
      </c>
      <c r="L90" t="str">
        <f>TEXT(Table1[[#This Row],[Date]],"ddd")</f>
        <v>Fri</v>
      </c>
    </row>
    <row r="91" spans="1:12" x14ac:dyDescent="0.3">
      <c r="A91" s="9">
        <v>44187</v>
      </c>
      <c r="B91" s="1" t="s">
        <v>18</v>
      </c>
      <c r="C91" s="1" t="s">
        <v>12</v>
      </c>
      <c r="D91" s="1" t="s">
        <v>13</v>
      </c>
      <c r="E91" s="1">
        <v>960</v>
      </c>
      <c r="F91" s="1">
        <v>33</v>
      </c>
      <c r="G91" s="10">
        <v>31680</v>
      </c>
      <c r="H91" s="1">
        <f>Table1[[#This Row],[Price]]*Table1[[#This Row],[Units]]</f>
        <v>31680</v>
      </c>
      <c r="I91" s="1">
        <f>YEAR(Table1[[#This Row],[Date]])</f>
        <v>2020</v>
      </c>
      <c r="J91" t="str">
        <f>TEXT(Table1[[#This Row],[Date]],"MMM")</f>
        <v>Dec</v>
      </c>
      <c r="K91">
        <f>DAY(Table1[[#This Row],[Date]])</f>
        <v>22</v>
      </c>
      <c r="L91" t="str">
        <f>TEXT(Table1[[#This Row],[Date]],"ddd")</f>
        <v>Tue</v>
      </c>
    </row>
    <row r="92" spans="1:12" x14ac:dyDescent="0.3">
      <c r="A92" s="9">
        <v>44191</v>
      </c>
      <c r="B92" s="1" t="s">
        <v>18</v>
      </c>
      <c r="C92" s="1" t="s">
        <v>15</v>
      </c>
      <c r="D92" s="1" t="s">
        <v>17</v>
      </c>
      <c r="E92" s="1">
        <v>19500</v>
      </c>
      <c r="F92" s="1">
        <v>45</v>
      </c>
      <c r="G92" s="10">
        <v>877500</v>
      </c>
      <c r="H92" s="1">
        <f>Table1[[#This Row],[Price]]*Table1[[#This Row],[Units]]</f>
        <v>877500</v>
      </c>
      <c r="I92" s="1">
        <f>YEAR(Table1[[#This Row],[Date]])</f>
        <v>2020</v>
      </c>
      <c r="J92" t="str">
        <f>TEXT(Table1[[#This Row],[Date]],"MMM")</f>
        <v>Dec</v>
      </c>
      <c r="K92">
        <f>DAY(Table1[[#This Row],[Date]])</f>
        <v>26</v>
      </c>
      <c r="L92" t="str">
        <f>TEXT(Table1[[#This Row],[Date]],"ddd")</f>
        <v>Sat</v>
      </c>
    </row>
    <row r="93" spans="1:12" x14ac:dyDescent="0.3">
      <c r="A93" s="9">
        <v>44195</v>
      </c>
      <c r="B93" s="1" t="s">
        <v>18</v>
      </c>
      <c r="C93" s="1" t="s">
        <v>19</v>
      </c>
      <c r="D93" s="1" t="s">
        <v>17</v>
      </c>
      <c r="E93" s="1">
        <v>2999</v>
      </c>
      <c r="F93" s="1">
        <v>33</v>
      </c>
      <c r="G93" s="10">
        <v>98967</v>
      </c>
      <c r="H93" s="1">
        <f>Table1[[#This Row],[Price]]*Table1[[#This Row],[Units]]</f>
        <v>98967</v>
      </c>
      <c r="I93" s="1">
        <f>YEAR(Table1[[#This Row],[Date]])</f>
        <v>2020</v>
      </c>
      <c r="J93" t="str">
        <f>TEXT(Table1[[#This Row],[Date]],"MMM")</f>
        <v>Dec</v>
      </c>
      <c r="K93">
        <f>DAY(Table1[[#This Row],[Date]])</f>
        <v>30</v>
      </c>
      <c r="L93" t="str">
        <f>TEXT(Table1[[#This Row],[Date]],"ddd")</f>
        <v>Wed</v>
      </c>
    </row>
    <row r="94" spans="1:12" x14ac:dyDescent="0.3">
      <c r="A94" s="9">
        <v>44199</v>
      </c>
      <c r="B94" s="1" t="s">
        <v>9</v>
      </c>
      <c r="C94" s="1" t="s">
        <v>12</v>
      </c>
      <c r="D94" s="1" t="s">
        <v>20</v>
      </c>
      <c r="E94" s="1">
        <v>1250</v>
      </c>
      <c r="F94" s="1">
        <v>14</v>
      </c>
      <c r="G94" s="10">
        <v>17500</v>
      </c>
      <c r="H94" s="1">
        <f>Table1[[#This Row],[Price]]*Table1[[#This Row],[Units]]</f>
        <v>17500</v>
      </c>
      <c r="I94" s="1">
        <f>YEAR(Table1[[#This Row],[Date]])</f>
        <v>2021</v>
      </c>
      <c r="J94" t="str">
        <f>TEXT(Table1[[#This Row],[Date]],"MMM")</f>
        <v>Jan</v>
      </c>
      <c r="K94">
        <f>DAY(Table1[[#This Row],[Date]])</f>
        <v>3</v>
      </c>
      <c r="L94" t="str">
        <f>TEXT(Table1[[#This Row],[Date]],"ddd")</f>
        <v>Sun</v>
      </c>
    </row>
    <row r="95" spans="1:12" x14ac:dyDescent="0.3">
      <c r="A95" s="9">
        <v>44203</v>
      </c>
      <c r="B95" s="1" t="s">
        <v>9</v>
      </c>
      <c r="C95" s="1" t="s">
        <v>16</v>
      </c>
      <c r="D95" s="1" t="s">
        <v>8</v>
      </c>
      <c r="E95" s="1">
        <v>120</v>
      </c>
      <c r="F95" s="1">
        <v>41</v>
      </c>
      <c r="G95" s="10">
        <v>4920</v>
      </c>
      <c r="H95" s="1">
        <f>Table1[[#This Row],[Price]]*Table1[[#This Row],[Units]]</f>
        <v>4920</v>
      </c>
      <c r="I95" s="1">
        <f>YEAR(Table1[[#This Row],[Date]])</f>
        <v>2021</v>
      </c>
      <c r="J95" t="str">
        <f>TEXT(Table1[[#This Row],[Date]],"MMM")</f>
        <v>Jan</v>
      </c>
      <c r="K95">
        <f>DAY(Table1[[#This Row],[Date]])</f>
        <v>7</v>
      </c>
      <c r="L95" t="str">
        <f>TEXT(Table1[[#This Row],[Date]],"ddd")</f>
        <v>Thu</v>
      </c>
    </row>
    <row r="96" spans="1:12" x14ac:dyDescent="0.3">
      <c r="A96" s="9">
        <v>44207</v>
      </c>
      <c r="B96" s="1" t="s">
        <v>11</v>
      </c>
      <c r="C96" s="1" t="s">
        <v>7</v>
      </c>
      <c r="D96" s="1" t="s">
        <v>17</v>
      </c>
      <c r="E96" s="1">
        <v>1450</v>
      </c>
      <c r="F96" s="1">
        <v>22</v>
      </c>
      <c r="G96" s="10">
        <v>31900</v>
      </c>
      <c r="H96" s="1">
        <f>Table1[[#This Row],[Price]]*Table1[[#This Row],[Units]]</f>
        <v>31900</v>
      </c>
      <c r="I96" s="1">
        <f>YEAR(Table1[[#This Row],[Date]])</f>
        <v>2021</v>
      </c>
      <c r="J96" t="str">
        <f>TEXT(Table1[[#This Row],[Date]],"MMM")</f>
        <v>Jan</v>
      </c>
      <c r="K96">
        <f>DAY(Table1[[#This Row],[Date]])</f>
        <v>11</v>
      </c>
      <c r="L96" t="str">
        <f>TEXT(Table1[[#This Row],[Date]],"ddd")</f>
        <v>Mon</v>
      </c>
    </row>
    <row r="97" spans="1:12" x14ac:dyDescent="0.3">
      <c r="A97" s="9">
        <v>44211</v>
      </c>
      <c r="B97" s="1" t="s">
        <v>18</v>
      </c>
      <c r="C97" s="1" t="s">
        <v>19</v>
      </c>
      <c r="D97" s="1" t="s">
        <v>8</v>
      </c>
      <c r="E97" s="1">
        <v>89999</v>
      </c>
      <c r="F97" s="1">
        <v>15</v>
      </c>
      <c r="G97" s="10">
        <v>1349985</v>
      </c>
      <c r="H97" s="1">
        <f>Table1[[#This Row],[Price]]*Table1[[#This Row],[Units]]</f>
        <v>1349985</v>
      </c>
      <c r="I97" s="1">
        <f>YEAR(Table1[[#This Row],[Date]])</f>
        <v>2021</v>
      </c>
      <c r="J97" t="str">
        <f>TEXT(Table1[[#This Row],[Date]],"MMM")</f>
        <v>Jan</v>
      </c>
      <c r="K97">
        <f>DAY(Table1[[#This Row],[Date]])</f>
        <v>15</v>
      </c>
      <c r="L97" t="str">
        <f>TEXT(Table1[[#This Row],[Date]],"ddd")</f>
        <v>Fri</v>
      </c>
    </row>
    <row r="98" spans="1:12" x14ac:dyDescent="0.3">
      <c r="A98" s="9">
        <v>44215</v>
      </c>
      <c r="B98" s="1" t="s">
        <v>22</v>
      </c>
      <c r="C98" s="1" t="s">
        <v>15</v>
      </c>
      <c r="D98" s="1" t="s">
        <v>13</v>
      </c>
      <c r="E98" s="1">
        <v>1999</v>
      </c>
      <c r="F98" s="1">
        <v>48</v>
      </c>
      <c r="G98" s="10">
        <v>95952</v>
      </c>
      <c r="H98" s="1">
        <f>Table1[[#This Row],[Price]]*Table1[[#This Row],[Units]]</f>
        <v>95952</v>
      </c>
      <c r="I98" s="1">
        <f>YEAR(Table1[[#This Row],[Date]])</f>
        <v>2021</v>
      </c>
      <c r="J98" t="str">
        <f>TEXT(Table1[[#This Row],[Date]],"MMM")</f>
        <v>Jan</v>
      </c>
      <c r="K98">
        <f>DAY(Table1[[#This Row],[Date]])</f>
        <v>19</v>
      </c>
      <c r="L98" t="str">
        <f>TEXT(Table1[[#This Row],[Date]],"ddd")</f>
        <v>Tue</v>
      </c>
    </row>
    <row r="99" spans="1:12" x14ac:dyDescent="0.3">
      <c r="A99" s="9">
        <v>44219</v>
      </c>
      <c r="B99" s="1" t="s">
        <v>22</v>
      </c>
      <c r="C99" s="1" t="s">
        <v>21</v>
      </c>
      <c r="D99" s="1" t="s">
        <v>17</v>
      </c>
      <c r="E99" s="1">
        <v>2900</v>
      </c>
      <c r="F99" s="1">
        <v>49</v>
      </c>
      <c r="G99" s="10">
        <v>142100</v>
      </c>
      <c r="H99" s="1">
        <f>Table1[[#This Row],[Price]]*Table1[[#This Row],[Units]]</f>
        <v>142100</v>
      </c>
      <c r="I99" s="1">
        <f>YEAR(Table1[[#This Row],[Date]])</f>
        <v>2021</v>
      </c>
      <c r="J99" t="str">
        <f>TEXT(Table1[[#This Row],[Date]],"MMM")</f>
        <v>Jan</v>
      </c>
      <c r="K99">
        <f>DAY(Table1[[#This Row],[Date]])</f>
        <v>23</v>
      </c>
      <c r="L99" t="str">
        <f>TEXT(Table1[[#This Row],[Date]],"ddd")</f>
        <v>Sat</v>
      </c>
    </row>
    <row r="100" spans="1:12" x14ac:dyDescent="0.3">
      <c r="A100" s="9">
        <v>44223</v>
      </c>
      <c r="B100" s="1" t="s">
        <v>18</v>
      </c>
      <c r="C100" s="1" t="s">
        <v>19</v>
      </c>
      <c r="D100" s="1" t="s">
        <v>20</v>
      </c>
      <c r="E100" s="1">
        <v>700</v>
      </c>
      <c r="F100" s="1">
        <v>50</v>
      </c>
      <c r="G100" s="10">
        <v>35000</v>
      </c>
      <c r="H100" s="1">
        <f>Table1[[#This Row],[Price]]*Table1[[#This Row],[Units]]</f>
        <v>35000</v>
      </c>
      <c r="I100" s="1">
        <f>YEAR(Table1[[#This Row],[Date]])</f>
        <v>2021</v>
      </c>
      <c r="J100" t="str">
        <f>TEXT(Table1[[#This Row],[Date]],"MMM")</f>
        <v>Jan</v>
      </c>
      <c r="K100">
        <f>DAY(Table1[[#This Row],[Date]])</f>
        <v>27</v>
      </c>
      <c r="L100" t="str">
        <f>TEXT(Table1[[#This Row],[Date]],"ddd")</f>
        <v>Wed</v>
      </c>
    </row>
    <row r="101" spans="1:12" x14ac:dyDescent="0.3">
      <c r="A101" s="9">
        <v>44227</v>
      </c>
      <c r="B101" s="1" t="s">
        <v>14</v>
      </c>
      <c r="C101" s="1" t="s">
        <v>16</v>
      </c>
      <c r="D101" s="1" t="s">
        <v>17</v>
      </c>
      <c r="E101" s="1">
        <v>200</v>
      </c>
      <c r="F101" s="1">
        <v>41</v>
      </c>
      <c r="G101" s="10">
        <v>8200</v>
      </c>
      <c r="H101" s="1">
        <f>Table1[[#This Row],[Price]]*Table1[[#This Row],[Units]]</f>
        <v>8200</v>
      </c>
      <c r="I101" s="1">
        <f>YEAR(Table1[[#This Row],[Date]])</f>
        <v>2021</v>
      </c>
      <c r="J101" t="str">
        <f>TEXT(Table1[[#This Row],[Date]],"MMM")</f>
        <v>Jan</v>
      </c>
      <c r="K101">
        <f>DAY(Table1[[#This Row],[Date]])</f>
        <v>31</v>
      </c>
      <c r="L101" t="str">
        <f>TEXT(Table1[[#This Row],[Date]],"ddd")</f>
        <v>Sun</v>
      </c>
    </row>
    <row r="102" spans="1:12" x14ac:dyDescent="0.3">
      <c r="A102" s="9">
        <v>44231</v>
      </c>
      <c r="B102" s="1" t="s">
        <v>11</v>
      </c>
      <c r="C102" s="1" t="s">
        <v>15</v>
      </c>
      <c r="D102" s="1" t="s">
        <v>10</v>
      </c>
      <c r="E102" s="1">
        <v>49000</v>
      </c>
      <c r="F102" s="1">
        <v>29</v>
      </c>
      <c r="G102" s="10">
        <v>1421000</v>
      </c>
      <c r="H102" s="1">
        <f>Table1[[#This Row],[Price]]*Table1[[#This Row],[Units]]</f>
        <v>1421000</v>
      </c>
      <c r="I102" s="1">
        <f>YEAR(Table1[[#This Row],[Date]])</f>
        <v>2021</v>
      </c>
      <c r="J102" t="str">
        <f>TEXT(Table1[[#This Row],[Date]],"MMM")</f>
        <v>Feb</v>
      </c>
      <c r="K102">
        <f>DAY(Table1[[#This Row],[Date]])</f>
        <v>4</v>
      </c>
      <c r="L102" t="str">
        <f>TEXT(Table1[[#This Row],[Date]],"ddd")</f>
        <v>Thu</v>
      </c>
    </row>
    <row r="103" spans="1:12" x14ac:dyDescent="0.3">
      <c r="A103" s="9">
        <v>44235</v>
      </c>
      <c r="B103" s="1" t="s">
        <v>6</v>
      </c>
      <c r="C103" s="1" t="s">
        <v>7</v>
      </c>
      <c r="D103" s="1" t="s">
        <v>20</v>
      </c>
      <c r="E103" s="1">
        <v>5599</v>
      </c>
      <c r="F103" s="1">
        <v>36</v>
      </c>
      <c r="G103" s="10">
        <v>201564</v>
      </c>
      <c r="H103" s="1">
        <f>Table1[[#This Row],[Price]]*Table1[[#This Row],[Units]]</f>
        <v>201564</v>
      </c>
      <c r="I103" s="1">
        <f>YEAR(Table1[[#This Row],[Date]])</f>
        <v>2021</v>
      </c>
      <c r="J103" t="str">
        <f>TEXT(Table1[[#This Row],[Date]],"MMM")</f>
        <v>Feb</v>
      </c>
      <c r="K103">
        <f>DAY(Table1[[#This Row],[Date]])</f>
        <v>8</v>
      </c>
      <c r="L103" t="str">
        <f>TEXT(Table1[[#This Row],[Date]],"ddd")</f>
        <v>Mon</v>
      </c>
    </row>
    <row r="104" spans="1:12" x14ac:dyDescent="0.3">
      <c r="A104" s="9">
        <v>44239</v>
      </c>
      <c r="B104" s="1" t="s">
        <v>14</v>
      </c>
      <c r="C104" s="1" t="s">
        <v>16</v>
      </c>
      <c r="D104" s="1" t="s">
        <v>17</v>
      </c>
      <c r="E104" s="1">
        <v>13500</v>
      </c>
      <c r="F104" s="1">
        <v>39</v>
      </c>
      <c r="G104" s="10">
        <v>526500</v>
      </c>
      <c r="H104" s="1">
        <f>Table1[[#This Row],[Price]]*Table1[[#This Row],[Units]]</f>
        <v>526500</v>
      </c>
      <c r="I104" s="1">
        <f>YEAR(Table1[[#This Row],[Date]])</f>
        <v>2021</v>
      </c>
      <c r="J104" t="str">
        <f>TEXT(Table1[[#This Row],[Date]],"MMM")</f>
        <v>Feb</v>
      </c>
      <c r="K104">
        <f>DAY(Table1[[#This Row],[Date]])</f>
        <v>12</v>
      </c>
      <c r="L104" t="str">
        <f>TEXT(Table1[[#This Row],[Date]],"ddd")</f>
        <v>Fri</v>
      </c>
    </row>
    <row r="105" spans="1:12" x14ac:dyDescent="0.3">
      <c r="A105" s="9">
        <v>44243</v>
      </c>
      <c r="B105" s="1" t="s">
        <v>11</v>
      </c>
      <c r="C105" s="1" t="s">
        <v>19</v>
      </c>
      <c r="D105" s="1" t="s">
        <v>17</v>
      </c>
      <c r="E105" s="1">
        <v>79999</v>
      </c>
      <c r="F105" s="1">
        <v>9</v>
      </c>
      <c r="G105" s="10">
        <v>719991</v>
      </c>
      <c r="H105" s="1">
        <f>Table1[[#This Row],[Price]]*Table1[[#This Row],[Units]]</f>
        <v>719991</v>
      </c>
      <c r="I105" s="1">
        <f>YEAR(Table1[[#This Row],[Date]])</f>
        <v>2021</v>
      </c>
      <c r="J105" t="str">
        <f>TEXT(Table1[[#This Row],[Date]],"MMM")</f>
        <v>Feb</v>
      </c>
      <c r="K105">
        <f>DAY(Table1[[#This Row],[Date]])</f>
        <v>16</v>
      </c>
      <c r="L105" t="str">
        <f>TEXT(Table1[[#This Row],[Date]],"ddd")</f>
        <v>Tue</v>
      </c>
    </row>
    <row r="106" spans="1:12" x14ac:dyDescent="0.3">
      <c r="A106" s="9">
        <v>44247</v>
      </c>
      <c r="B106" s="1" t="s">
        <v>18</v>
      </c>
      <c r="C106" s="1" t="s">
        <v>15</v>
      </c>
      <c r="D106" s="1" t="s">
        <v>13</v>
      </c>
      <c r="E106" s="1">
        <v>75200</v>
      </c>
      <c r="F106" s="1">
        <v>38</v>
      </c>
      <c r="G106" s="10">
        <v>2857600</v>
      </c>
      <c r="H106" s="1">
        <f>Table1[[#This Row],[Price]]*Table1[[#This Row],[Units]]</f>
        <v>2857600</v>
      </c>
      <c r="I106" s="1">
        <f>YEAR(Table1[[#This Row],[Date]])</f>
        <v>2021</v>
      </c>
      <c r="J106" t="str">
        <f>TEXT(Table1[[#This Row],[Date]],"MMM")</f>
        <v>Feb</v>
      </c>
      <c r="K106">
        <f>DAY(Table1[[#This Row],[Date]])</f>
        <v>20</v>
      </c>
      <c r="L106" t="str">
        <f>TEXT(Table1[[#This Row],[Date]],"ddd")</f>
        <v>Sat</v>
      </c>
    </row>
    <row r="107" spans="1:12" x14ac:dyDescent="0.3">
      <c r="A107" s="9">
        <v>44251</v>
      </c>
      <c r="B107" s="1" t="s">
        <v>18</v>
      </c>
      <c r="C107" s="1" t="s">
        <v>12</v>
      </c>
      <c r="D107" s="1" t="s">
        <v>8</v>
      </c>
      <c r="E107" s="1">
        <v>550</v>
      </c>
      <c r="F107" s="1">
        <v>25</v>
      </c>
      <c r="G107" s="10">
        <v>13750</v>
      </c>
      <c r="H107" s="1">
        <f>Table1[[#This Row],[Price]]*Table1[[#This Row],[Units]]</f>
        <v>13750</v>
      </c>
      <c r="I107" s="1">
        <f>YEAR(Table1[[#This Row],[Date]])</f>
        <v>2021</v>
      </c>
      <c r="J107" t="str">
        <f>TEXT(Table1[[#This Row],[Date]],"MMM")</f>
        <v>Feb</v>
      </c>
      <c r="K107">
        <f>DAY(Table1[[#This Row],[Date]])</f>
        <v>24</v>
      </c>
      <c r="L107" t="str">
        <f>TEXT(Table1[[#This Row],[Date]],"ddd")</f>
        <v>Wed</v>
      </c>
    </row>
    <row r="108" spans="1:12" x14ac:dyDescent="0.3">
      <c r="A108" s="9">
        <v>44255</v>
      </c>
      <c r="B108" s="1" t="s">
        <v>6</v>
      </c>
      <c r="C108" s="1" t="s">
        <v>7</v>
      </c>
      <c r="D108" s="1" t="s">
        <v>8</v>
      </c>
      <c r="E108" s="1">
        <v>499</v>
      </c>
      <c r="F108" s="1">
        <v>50</v>
      </c>
      <c r="G108" s="10">
        <v>24950</v>
      </c>
      <c r="H108" s="1">
        <f>Table1[[#This Row],[Price]]*Table1[[#This Row],[Units]]</f>
        <v>24950</v>
      </c>
      <c r="I108" s="1">
        <f>YEAR(Table1[[#This Row],[Date]])</f>
        <v>2021</v>
      </c>
      <c r="J108" t="str">
        <f>TEXT(Table1[[#This Row],[Date]],"MMM")</f>
        <v>Feb</v>
      </c>
      <c r="K108">
        <f>DAY(Table1[[#This Row],[Date]])</f>
        <v>28</v>
      </c>
      <c r="L108" t="str">
        <f>TEXT(Table1[[#This Row],[Date]],"ddd")</f>
        <v>Sun</v>
      </c>
    </row>
    <row r="109" spans="1:12" x14ac:dyDescent="0.3">
      <c r="A109" s="9">
        <v>44259</v>
      </c>
      <c r="B109" s="1" t="s">
        <v>6</v>
      </c>
      <c r="C109" s="1" t="s">
        <v>7</v>
      </c>
      <c r="D109" s="1" t="s">
        <v>10</v>
      </c>
      <c r="E109" s="1">
        <v>5599</v>
      </c>
      <c r="F109" s="1">
        <v>33</v>
      </c>
      <c r="G109" s="10">
        <v>184767</v>
      </c>
      <c r="H109" s="1">
        <f>Table1[[#This Row],[Price]]*Table1[[#This Row],[Units]]</f>
        <v>184767</v>
      </c>
      <c r="I109" s="1">
        <f>YEAR(Table1[[#This Row],[Date]])</f>
        <v>2021</v>
      </c>
      <c r="J109" t="str">
        <f>TEXT(Table1[[#This Row],[Date]],"MMM")</f>
        <v>Mar</v>
      </c>
      <c r="K109">
        <f>DAY(Table1[[#This Row],[Date]])</f>
        <v>4</v>
      </c>
      <c r="L109" t="str">
        <f>TEXT(Table1[[#This Row],[Date]],"ddd")</f>
        <v>Thu</v>
      </c>
    </row>
    <row r="110" spans="1:12" x14ac:dyDescent="0.3">
      <c r="A110" s="9">
        <v>44263</v>
      </c>
      <c r="B110" s="1" t="s">
        <v>11</v>
      </c>
      <c r="C110" s="1" t="s">
        <v>12</v>
      </c>
      <c r="D110" s="1" t="s">
        <v>13</v>
      </c>
      <c r="E110" s="1">
        <v>1450</v>
      </c>
      <c r="F110" s="1">
        <v>44</v>
      </c>
      <c r="G110" s="10">
        <v>63800</v>
      </c>
      <c r="H110" s="1">
        <f>Table1[[#This Row],[Price]]*Table1[[#This Row],[Units]]</f>
        <v>63800</v>
      </c>
      <c r="I110" s="1">
        <f>YEAR(Table1[[#This Row],[Date]])</f>
        <v>2021</v>
      </c>
      <c r="J110" t="str">
        <f>TEXT(Table1[[#This Row],[Date]],"MMM")</f>
        <v>Mar</v>
      </c>
      <c r="K110">
        <f>DAY(Table1[[#This Row],[Date]])</f>
        <v>8</v>
      </c>
      <c r="L110" t="str">
        <f>TEXT(Table1[[#This Row],[Date]],"ddd")</f>
        <v>Mon</v>
      </c>
    </row>
    <row r="111" spans="1:12" x14ac:dyDescent="0.3">
      <c r="A111" s="9">
        <v>44267</v>
      </c>
      <c r="B111" s="1" t="s">
        <v>14</v>
      </c>
      <c r="C111" s="1" t="s">
        <v>16</v>
      </c>
      <c r="D111" s="1" t="s">
        <v>8</v>
      </c>
      <c r="E111" s="1">
        <v>999</v>
      </c>
      <c r="F111" s="1">
        <v>31</v>
      </c>
      <c r="G111" s="10">
        <v>30969</v>
      </c>
      <c r="H111" s="1">
        <f>Table1[[#This Row],[Price]]*Table1[[#This Row],[Units]]</f>
        <v>30969</v>
      </c>
      <c r="I111" s="1">
        <f>YEAR(Table1[[#This Row],[Date]])</f>
        <v>2021</v>
      </c>
      <c r="J111" t="str">
        <f>TEXT(Table1[[#This Row],[Date]],"MMM")</f>
        <v>Mar</v>
      </c>
      <c r="K111">
        <f>DAY(Table1[[#This Row],[Date]])</f>
        <v>12</v>
      </c>
      <c r="L111" t="str">
        <f>TEXT(Table1[[#This Row],[Date]],"ddd")</f>
        <v>Fri</v>
      </c>
    </row>
    <row r="112" spans="1:12" x14ac:dyDescent="0.3">
      <c r="A112" s="9">
        <v>44271</v>
      </c>
      <c r="B112" s="1" t="s">
        <v>14</v>
      </c>
      <c r="C112" s="1" t="s">
        <v>16</v>
      </c>
      <c r="D112" s="1" t="s">
        <v>17</v>
      </c>
      <c r="E112" s="1">
        <v>100</v>
      </c>
      <c r="F112" s="1">
        <v>11</v>
      </c>
      <c r="G112" s="10">
        <v>1100</v>
      </c>
      <c r="H112" s="1">
        <f>Table1[[#This Row],[Price]]*Table1[[#This Row],[Units]]</f>
        <v>1100</v>
      </c>
      <c r="I112" s="1">
        <f>YEAR(Table1[[#This Row],[Date]])</f>
        <v>2021</v>
      </c>
      <c r="J112" t="str">
        <f>TEXT(Table1[[#This Row],[Date]],"MMM")</f>
        <v>Mar</v>
      </c>
      <c r="K112">
        <f>DAY(Table1[[#This Row],[Date]])</f>
        <v>16</v>
      </c>
      <c r="L112" t="str">
        <f>TEXT(Table1[[#This Row],[Date]],"ddd")</f>
        <v>Tue</v>
      </c>
    </row>
    <row r="113" spans="1:12" x14ac:dyDescent="0.3">
      <c r="A113" s="9">
        <v>44275</v>
      </c>
      <c r="B113" s="1" t="s">
        <v>11</v>
      </c>
      <c r="C113" s="1" t="s">
        <v>7</v>
      </c>
      <c r="D113" s="1" t="s">
        <v>17</v>
      </c>
      <c r="E113" s="1">
        <v>2550</v>
      </c>
      <c r="F113" s="1">
        <v>48</v>
      </c>
      <c r="G113" s="10">
        <v>122400</v>
      </c>
      <c r="H113" s="1">
        <f>Table1[[#This Row],[Price]]*Table1[[#This Row],[Units]]</f>
        <v>122400</v>
      </c>
      <c r="I113" s="1">
        <f>YEAR(Table1[[#This Row],[Date]])</f>
        <v>2021</v>
      </c>
      <c r="J113" t="str">
        <f>TEXT(Table1[[#This Row],[Date]],"MMM")</f>
        <v>Mar</v>
      </c>
      <c r="K113">
        <f>DAY(Table1[[#This Row],[Date]])</f>
        <v>20</v>
      </c>
      <c r="L113" t="str">
        <f>TEXT(Table1[[#This Row],[Date]],"ddd")</f>
        <v>Sat</v>
      </c>
    </row>
    <row r="114" spans="1:12" x14ac:dyDescent="0.3">
      <c r="A114" s="9">
        <v>44279</v>
      </c>
      <c r="B114" s="1" t="s">
        <v>18</v>
      </c>
      <c r="C114" s="1" t="s">
        <v>19</v>
      </c>
      <c r="D114" s="1" t="s">
        <v>17</v>
      </c>
      <c r="E114" s="1">
        <v>33000</v>
      </c>
      <c r="F114" s="1">
        <v>26</v>
      </c>
      <c r="G114" s="10">
        <v>858000</v>
      </c>
      <c r="H114" s="1">
        <f>Table1[[#This Row],[Price]]*Table1[[#This Row],[Units]]</f>
        <v>858000</v>
      </c>
      <c r="I114" s="1">
        <f>YEAR(Table1[[#This Row],[Date]])</f>
        <v>2021</v>
      </c>
      <c r="J114" t="str">
        <f>TEXT(Table1[[#This Row],[Date]],"MMM")</f>
        <v>Mar</v>
      </c>
      <c r="K114">
        <f>DAY(Table1[[#This Row],[Date]])</f>
        <v>24</v>
      </c>
      <c r="L114" t="str">
        <f>TEXT(Table1[[#This Row],[Date]],"ddd")</f>
        <v>Wed</v>
      </c>
    </row>
    <row r="115" spans="1:12" x14ac:dyDescent="0.3">
      <c r="A115" s="9">
        <v>44283</v>
      </c>
      <c r="B115" s="1" t="s">
        <v>9</v>
      </c>
      <c r="C115" s="1" t="s">
        <v>7</v>
      </c>
      <c r="D115" s="1" t="s">
        <v>13</v>
      </c>
      <c r="E115" s="1">
        <v>800</v>
      </c>
      <c r="F115" s="1">
        <v>39</v>
      </c>
      <c r="G115" s="10">
        <v>31200</v>
      </c>
      <c r="H115" s="1">
        <f>Table1[[#This Row],[Price]]*Table1[[#This Row],[Units]]</f>
        <v>31200</v>
      </c>
      <c r="I115" s="1">
        <f>YEAR(Table1[[#This Row],[Date]])</f>
        <v>2021</v>
      </c>
      <c r="J115" t="str">
        <f>TEXT(Table1[[#This Row],[Date]],"MMM")</f>
        <v>Mar</v>
      </c>
      <c r="K115">
        <f>DAY(Table1[[#This Row],[Date]])</f>
        <v>28</v>
      </c>
      <c r="L115" t="str">
        <f>TEXT(Table1[[#This Row],[Date]],"ddd")</f>
        <v>Sun</v>
      </c>
    </row>
    <row r="116" spans="1:12" x14ac:dyDescent="0.3">
      <c r="A116" s="9">
        <v>44287</v>
      </c>
      <c r="B116" s="1" t="s">
        <v>22</v>
      </c>
      <c r="C116" s="1" t="s">
        <v>21</v>
      </c>
      <c r="D116" s="1" t="s">
        <v>13</v>
      </c>
      <c r="E116" s="1">
        <v>990</v>
      </c>
      <c r="F116" s="1">
        <v>9</v>
      </c>
      <c r="G116" s="10">
        <v>8910</v>
      </c>
      <c r="H116" s="1">
        <f>Table1[[#This Row],[Price]]*Table1[[#This Row],[Units]]</f>
        <v>8910</v>
      </c>
      <c r="I116" s="1">
        <f>YEAR(Table1[[#This Row],[Date]])</f>
        <v>2021</v>
      </c>
      <c r="J116" t="str">
        <f>TEXT(Table1[[#This Row],[Date]],"MMM")</f>
        <v>Apr</v>
      </c>
      <c r="K116">
        <f>DAY(Table1[[#This Row],[Date]])</f>
        <v>1</v>
      </c>
      <c r="L116" t="str">
        <f>TEXT(Table1[[#This Row],[Date]],"ddd")</f>
        <v>Thu</v>
      </c>
    </row>
    <row r="117" spans="1:12" x14ac:dyDescent="0.3">
      <c r="A117" s="9">
        <v>44291</v>
      </c>
      <c r="B117" s="1" t="s">
        <v>6</v>
      </c>
      <c r="C117" s="1" t="s">
        <v>7</v>
      </c>
      <c r="D117" s="1" t="s">
        <v>8</v>
      </c>
      <c r="E117" s="1">
        <v>5599</v>
      </c>
      <c r="F117" s="1">
        <v>41</v>
      </c>
      <c r="G117" s="10">
        <v>229559</v>
      </c>
      <c r="H117" s="1">
        <f>Table1[[#This Row],[Price]]*Table1[[#This Row],[Units]]</f>
        <v>229559</v>
      </c>
      <c r="I117" s="1">
        <f>YEAR(Table1[[#This Row],[Date]])</f>
        <v>2021</v>
      </c>
      <c r="J117" t="str">
        <f>TEXT(Table1[[#This Row],[Date]],"MMM")</f>
        <v>Apr</v>
      </c>
      <c r="K117">
        <f>DAY(Table1[[#This Row],[Date]])</f>
        <v>5</v>
      </c>
      <c r="L117" t="str">
        <f>TEXT(Table1[[#This Row],[Date]],"ddd")</f>
        <v>Mon</v>
      </c>
    </row>
    <row r="118" spans="1:12" x14ac:dyDescent="0.3">
      <c r="A118" s="9">
        <v>44295</v>
      </c>
      <c r="B118" s="1" t="s">
        <v>18</v>
      </c>
      <c r="C118" s="1" t="s">
        <v>19</v>
      </c>
      <c r="D118" s="1" t="s">
        <v>8</v>
      </c>
      <c r="E118" s="1">
        <v>499</v>
      </c>
      <c r="F118" s="1">
        <v>39</v>
      </c>
      <c r="G118" s="10">
        <v>19461</v>
      </c>
      <c r="H118" s="1">
        <f>Table1[[#This Row],[Price]]*Table1[[#This Row],[Units]]</f>
        <v>19461</v>
      </c>
      <c r="I118" s="1">
        <f>YEAR(Table1[[#This Row],[Date]])</f>
        <v>2021</v>
      </c>
      <c r="J118" t="str">
        <f>TEXT(Table1[[#This Row],[Date]],"MMM")</f>
        <v>Apr</v>
      </c>
      <c r="K118">
        <f>DAY(Table1[[#This Row],[Date]])</f>
        <v>9</v>
      </c>
      <c r="L118" t="str">
        <f>TEXT(Table1[[#This Row],[Date]],"ddd")</f>
        <v>Fri</v>
      </c>
    </row>
    <row r="119" spans="1:12" x14ac:dyDescent="0.3">
      <c r="A119" s="9">
        <v>44299</v>
      </c>
      <c r="B119" s="1" t="s">
        <v>22</v>
      </c>
      <c r="C119" s="1" t="s">
        <v>21</v>
      </c>
      <c r="D119" s="1" t="s">
        <v>8</v>
      </c>
      <c r="E119" s="1">
        <v>1999</v>
      </c>
      <c r="F119" s="1">
        <v>4</v>
      </c>
      <c r="G119" s="10">
        <v>7996</v>
      </c>
      <c r="H119" s="1">
        <f>Table1[[#This Row],[Price]]*Table1[[#This Row],[Units]]</f>
        <v>7996</v>
      </c>
      <c r="I119" s="1">
        <f>YEAR(Table1[[#This Row],[Date]])</f>
        <v>2021</v>
      </c>
      <c r="J119" t="str">
        <f>TEXT(Table1[[#This Row],[Date]],"MMM")</f>
        <v>Apr</v>
      </c>
      <c r="K119">
        <f>DAY(Table1[[#This Row],[Date]])</f>
        <v>13</v>
      </c>
      <c r="L119" t="str">
        <f>TEXT(Table1[[#This Row],[Date]],"ddd")</f>
        <v>Tue</v>
      </c>
    </row>
    <row r="120" spans="1:12" x14ac:dyDescent="0.3">
      <c r="A120" s="9">
        <v>44303</v>
      </c>
      <c r="B120" s="1" t="s">
        <v>11</v>
      </c>
      <c r="C120" s="1" t="s">
        <v>16</v>
      </c>
      <c r="D120" s="1" t="s">
        <v>8</v>
      </c>
      <c r="E120" s="1">
        <v>200</v>
      </c>
      <c r="F120" s="1">
        <v>8</v>
      </c>
      <c r="G120" s="10">
        <v>1600</v>
      </c>
      <c r="H120" s="1">
        <f>Table1[[#This Row],[Price]]*Table1[[#This Row],[Units]]</f>
        <v>1600</v>
      </c>
      <c r="I120" s="1">
        <f>YEAR(Table1[[#This Row],[Date]])</f>
        <v>2021</v>
      </c>
      <c r="J120" t="str">
        <f>TEXT(Table1[[#This Row],[Date]],"MMM")</f>
        <v>Apr</v>
      </c>
      <c r="K120">
        <f>DAY(Table1[[#This Row],[Date]])</f>
        <v>17</v>
      </c>
      <c r="L120" t="str">
        <f>TEXT(Table1[[#This Row],[Date]],"ddd")</f>
        <v>Sat</v>
      </c>
    </row>
    <row r="121" spans="1:12" x14ac:dyDescent="0.3">
      <c r="A121" s="9">
        <v>44307</v>
      </c>
      <c r="B121" s="1" t="s">
        <v>22</v>
      </c>
      <c r="C121" s="1" t="s">
        <v>21</v>
      </c>
      <c r="D121" s="1" t="s">
        <v>13</v>
      </c>
      <c r="E121" s="1">
        <v>1499</v>
      </c>
      <c r="F121" s="1">
        <v>27</v>
      </c>
      <c r="G121" s="10">
        <v>40473</v>
      </c>
      <c r="H121" s="1">
        <f>Table1[[#This Row],[Price]]*Table1[[#This Row],[Units]]</f>
        <v>40473</v>
      </c>
      <c r="I121" s="1">
        <f>YEAR(Table1[[#This Row],[Date]])</f>
        <v>2021</v>
      </c>
      <c r="J121" t="str">
        <f>TEXT(Table1[[#This Row],[Date]],"MMM")</f>
        <v>Apr</v>
      </c>
      <c r="K121">
        <f>DAY(Table1[[#This Row],[Date]])</f>
        <v>21</v>
      </c>
      <c r="L121" t="str">
        <f>TEXT(Table1[[#This Row],[Date]],"ddd")</f>
        <v>Wed</v>
      </c>
    </row>
    <row r="122" spans="1:12" x14ac:dyDescent="0.3">
      <c r="A122" s="9">
        <v>44311</v>
      </c>
      <c r="B122" s="1" t="s">
        <v>14</v>
      </c>
      <c r="C122" s="1" t="s">
        <v>16</v>
      </c>
      <c r="D122" s="1" t="s">
        <v>20</v>
      </c>
      <c r="E122" s="1">
        <v>120</v>
      </c>
      <c r="F122" s="1">
        <v>10</v>
      </c>
      <c r="G122" s="10">
        <v>1200</v>
      </c>
      <c r="H122" s="1">
        <f>Table1[[#This Row],[Price]]*Table1[[#This Row],[Units]]</f>
        <v>1200</v>
      </c>
      <c r="I122" s="1">
        <f>YEAR(Table1[[#This Row],[Date]])</f>
        <v>2021</v>
      </c>
      <c r="J122" t="str">
        <f>TEXT(Table1[[#This Row],[Date]],"MMM")</f>
        <v>Apr</v>
      </c>
      <c r="K122">
        <f>DAY(Table1[[#This Row],[Date]])</f>
        <v>25</v>
      </c>
      <c r="L122" t="str">
        <f>TEXT(Table1[[#This Row],[Date]],"ddd")</f>
        <v>Sun</v>
      </c>
    </row>
    <row r="123" spans="1:12" x14ac:dyDescent="0.3">
      <c r="A123" s="9">
        <v>44315</v>
      </c>
      <c r="B123" s="1" t="s">
        <v>9</v>
      </c>
      <c r="C123" s="1" t="s">
        <v>19</v>
      </c>
      <c r="D123" s="1" t="s">
        <v>20</v>
      </c>
      <c r="E123" s="1">
        <v>11999</v>
      </c>
      <c r="F123" s="1">
        <v>17</v>
      </c>
      <c r="G123" s="10">
        <v>203983</v>
      </c>
      <c r="H123" s="1">
        <f>Table1[[#This Row],[Price]]*Table1[[#This Row],[Units]]</f>
        <v>203983</v>
      </c>
      <c r="I123" s="1">
        <f>YEAR(Table1[[#This Row],[Date]])</f>
        <v>2021</v>
      </c>
      <c r="J123" t="str">
        <f>TEXT(Table1[[#This Row],[Date]],"MMM")</f>
        <v>Apr</v>
      </c>
      <c r="K123">
        <f>DAY(Table1[[#This Row],[Date]])</f>
        <v>29</v>
      </c>
      <c r="L123" t="str">
        <f>TEXT(Table1[[#This Row],[Date]],"ddd")</f>
        <v>Thu</v>
      </c>
    </row>
    <row r="124" spans="1:12" x14ac:dyDescent="0.3">
      <c r="A124" s="9">
        <v>44319</v>
      </c>
      <c r="B124" s="1" t="s">
        <v>9</v>
      </c>
      <c r="C124" s="1" t="s">
        <v>19</v>
      </c>
      <c r="D124" s="1" t="s">
        <v>10</v>
      </c>
      <c r="E124" s="1">
        <v>999</v>
      </c>
      <c r="F124" s="1">
        <v>27</v>
      </c>
      <c r="G124" s="10">
        <v>26973</v>
      </c>
      <c r="H124" s="1">
        <f>Table1[[#This Row],[Price]]*Table1[[#This Row],[Units]]</f>
        <v>26973</v>
      </c>
      <c r="I124" s="1">
        <f>YEAR(Table1[[#This Row],[Date]])</f>
        <v>2021</v>
      </c>
      <c r="J124" t="str">
        <f>TEXT(Table1[[#This Row],[Date]],"MMM")</f>
        <v>May</v>
      </c>
      <c r="K124">
        <f>DAY(Table1[[#This Row],[Date]])</f>
        <v>3</v>
      </c>
      <c r="L124" t="str">
        <f>TEXT(Table1[[#This Row],[Date]],"ddd")</f>
        <v>Mon</v>
      </c>
    </row>
    <row r="125" spans="1:12" x14ac:dyDescent="0.3">
      <c r="A125" s="9">
        <v>44323</v>
      </c>
      <c r="B125" s="1" t="s">
        <v>11</v>
      </c>
      <c r="C125" s="1" t="s">
        <v>19</v>
      </c>
      <c r="D125" s="1" t="s">
        <v>13</v>
      </c>
      <c r="E125" s="1">
        <v>2999</v>
      </c>
      <c r="F125" s="1">
        <v>43</v>
      </c>
      <c r="G125" s="10">
        <v>128957</v>
      </c>
      <c r="H125" s="1">
        <f>Table1[[#This Row],[Price]]*Table1[[#This Row],[Units]]</f>
        <v>128957</v>
      </c>
      <c r="I125" s="1">
        <f>YEAR(Table1[[#This Row],[Date]])</f>
        <v>2021</v>
      </c>
      <c r="J125" t="str">
        <f>TEXT(Table1[[#This Row],[Date]],"MMM")</f>
        <v>May</v>
      </c>
      <c r="K125">
        <f>DAY(Table1[[#This Row],[Date]])</f>
        <v>7</v>
      </c>
      <c r="L125" t="str">
        <f>TEXT(Table1[[#This Row],[Date]],"ddd")</f>
        <v>Fri</v>
      </c>
    </row>
    <row r="126" spans="1:12" x14ac:dyDescent="0.3">
      <c r="A126" s="9">
        <v>44327</v>
      </c>
      <c r="B126" s="1" t="s">
        <v>14</v>
      </c>
      <c r="C126" s="1" t="s">
        <v>15</v>
      </c>
      <c r="D126" s="1" t="s">
        <v>10</v>
      </c>
      <c r="E126" s="1">
        <v>47800</v>
      </c>
      <c r="F126" s="1">
        <v>9</v>
      </c>
      <c r="G126" s="10">
        <v>430200</v>
      </c>
      <c r="H126" s="1">
        <f>Table1[[#This Row],[Price]]*Table1[[#This Row],[Units]]</f>
        <v>430200</v>
      </c>
      <c r="I126" s="1">
        <f>YEAR(Table1[[#This Row],[Date]])</f>
        <v>2021</v>
      </c>
      <c r="J126" t="str">
        <f>TEXT(Table1[[#This Row],[Date]],"MMM")</f>
        <v>May</v>
      </c>
      <c r="K126">
        <f>DAY(Table1[[#This Row],[Date]])</f>
        <v>11</v>
      </c>
      <c r="L126" t="str">
        <f>TEXT(Table1[[#This Row],[Date]],"ddd")</f>
        <v>Tue</v>
      </c>
    </row>
    <row r="127" spans="1:12" x14ac:dyDescent="0.3">
      <c r="A127" s="9">
        <v>44331</v>
      </c>
      <c r="B127" s="1" t="s">
        <v>18</v>
      </c>
      <c r="C127" s="1" t="s">
        <v>15</v>
      </c>
      <c r="D127" s="1" t="s">
        <v>8</v>
      </c>
      <c r="E127" s="1">
        <v>22000</v>
      </c>
      <c r="F127" s="1">
        <v>42</v>
      </c>
      <c r="G127" s="10">
        <v>924000</v>
      </c>
      <c r="H127" s="1">
        <f>Table1[[#This Row],[Price]]*Table1[[#This Row],[Units]]</f>
        <v>924000</v>
      </c>
      <c r="I127" s="1">
        <f>YEAR(Table1[[#This Row],[Date]])</f>
        <v>2021</v>
      </c>
      <c r="J127" t="str">
        <f>TEXT(Table1[[#This Row],[Date]],"MMM")</f>
        <v>May</v>
      </c>
      <c r="K127">
        <f>DAY(Table1[[#This Row],[Date]])</f>
        <v>15</v>
      </c>
      <c r="L127" t="str">
        <f>TEXT(Table1[[#This Row],[Date]],"ddd")</f>
        <v>Sat</v>
      </c>
    </row>
    <row r="128" spans="1:12" x14ac:dyDescent="0.3">
      <c r="A128" s="9">
        <v>44335</v>
      </c>
      <c r="B128" s="1" t="s">
        <v>18</v>
      </c>
      <c r="C128" s="1" t="s">
        <v>12</v>
      </c>
      <c r="D128" s="1" t="s">
        <v>10</v>
      </c>
      <c r="E128" s="1">
        <v>1250</v>
      </c>
      <c r="F128" s="1">
        <v>6</v>
      </c>
      <c r="G128" s="10">
        <v>7500</v>
      </c>
      <c r="H128" s="1">
        <f>Table1[[#This Row],[Price]]*Table1[[#This Row],[Units]]</f>
        <v>7500</v>
      </c>
      <c r="I128" s="1">
        <f>YEAR(Table1[[#This Row],[Date]])</f>
        <v>2021</v>
      </c>
      <c r="J128" t="str">
        <f>TEXT(Table1[[#This Row],[Date]],"MMM")</f>
        <v>May</v>
      </c>
      <c r="K128">
        <f>DAY(Table1[[#This Row],[Date]])</f>
        <v>19</v>
      </c>
      <c r="L128" t="str">
        <f>TEXT(Table1[[#This Row],[Date]],"ddd")</f>
        <v>Wed</v>
      </c>
    </row>
    <row r="129" spans="1:12" x14ac:dyDescent="0.3">
      <c r="A129" s="9">
        <v>44339</v>
      </c>
      <c r="B129" s="1" t="s">
        <v>14</v>
      </c>
      <c r="C129" s="1" t="s">
        <v>16</v>
      </c>
      <c r="D129" s="1" t="s">
        <v>13</v>
      </c>
      <c r="E129" s="1">
        <v>999</v>
      </c>
      <c r="F129" s="1">
        <v>28</v>
      </c>
      <c r="G129" s="10">
        <v>27972</v>
      </c>
      <c r="H129" s="1">
        <f>Table1[[#This Row],[Price]]*Table1[[#This Row],[Units]]</f>
        <v>27972</v>
      </c>
      <c r="I129" s="1">
        <f>YEAR(Table1[[#This Row],[Date]])</f>
        <v>2021</v>
      </c>
      <c r="J129" t="str">
        <f>TEXT(Table1[[#This Row],[Date]],"MMM")</f>
        <v>May</v>
      </c>
      <c r="K129">
        <f>DAY(Table1[[#This Row],[Date]])</f>
        <v>23</v>
      </c>
      <c r="L129" t="str">
        <f>TEXT(Table1[[#This Row],[Date]],"ddd")</f>
        <v>Sun</v>
      </c>
    </row>
    <row r="130" spans="1:12" x14ac:dyDescent="0.3">
      <c r="A130" s="9">
        <v>44343</v>
      </c>
      <c r="B130" s="1" t="s">
        <v>18</v>
      </c>
      <c r="C130" s="1" t="s">
        <v>12</v>
      </c>
      <c r="D130" s="1" t="s">
        <v>20</v>
      </c>
      <c r="E130" s="1">
        <v>1450</v>
      </c>
      <c r="F130" s="1">
        <v>13</v>
      </c>
      <c r="G130" s="10">
        <v>18850</v>
      </c>
      <c r="H130" s="1">
        <f>Table1[[#This Row],[Price]]*Table1[[#This Row],[Units]]</f>
        <v>18850</v>
      </c>
      <c r="I130" s="1">
        <f>YEAR(Table1[[#This Row],[Date]])</f>
        <v>2021</v>
      </c>
      <c r="J130" t="str">
        <f>TEXT(Table1[[#This Row],[Date]],"MMM")</f>
        <v>May</v>
      </c>
      <c r="K130">
        <f>DAY(Table1[[#This Row],[Date]])</f>
        <v>27</v>
      </c>
      <c r="L130" t="str">
        <f>TEXT(Table1[[#This Row],[Date]],"ddd")</f>
        <v>Thu</v>
      </c>
    </row>
    <row r="131" spans="1:12" x14ac:dyDescent="0.3">
      <c r="A131" s="9">
        <v>44347</v>
      </c>
      <c r="B131" s="1" t="s">
        <v>18</v>
      </c>
      <c r="C131" s="1" t="s">
        <v>12</v>
      </c>
      <c r="D131" s="1" t="s">
        <v>20</v>
      </c>
      <c r="E131" s="1">
        <v>23999</v>
      </c>
      <c r="F131" s="1">
        <v>8</v>
      </c>
      <c r="G131" s="10">
        <v>191992</v>
      </c>
      <c r="H131" s="1">
        <f>Table1[[#This Row],[Price]]*Table1[[#This Row],[Units]]</f>
        <v>191992</v>
      </c>
      <c r="I131" s="1">
        <f>YEAR(Table1[[#This Row],[Date]])</f>
        <v>2021</v>
      </c>
      <c r="J131" t="str">
        <f>TEXT(Table1[[#This Row],[Date]],"MMM")</f>
        <v>May</v>
      </c>
      <c r="K131">
        <f>DAY(Table1[[#This Row],[Date]])</f>
        <v>31</v>
      </c>
      <c r="L131" t="str">
        <f>TEXT(Table1[[#This Row],[Date]],"ddd")</f>
        <v>Mon</v>
      </c>
    </row>
    <row r="132" spans="1:12" x14ac:dyDescent="0.3">
      <c r="A132" s="9">
        <v>44351</v>
      </c>
      <c r="B132" s="1" t="s">
        <v>9</v>
      </c>
      <c r="C132" s="1" t="s">
        <v>15</v>
      </c>
      <c r="D132" s="1" t="s">
        <v>20</v>
      </c>
      <c r="E132" s="1">
        <v>92000</v>
      </c>
      <c r="F132" s="1">
        <v>7</v>
      </c>
      <c r="G132" s="10">
        <v>644000</v>
      </c>
      <c r="H132" s="1">
        <f>Table1[[#This Row],[Price]]*Table1[[#This Row],[Units]]</f>
        <v>644000</v>
      </c>
      <c r="I132" s="1">
        <f>YEAR(Table1[[#This Row],[Date]])</f>
        <v>2021</v>
      </c>
      <c r="J132" t="str">
        <f>TEXT(Table1[[#This Row],[Date]],"MMM")</f>
        <v>Jun</v>
      </c>
      <c r="K132">
        <f>DAY(Table1[[#This Row],[Date]])</f>
        <v>4</v>
      </c>
      <c r="L132" t="str">
        <f>TEXT(Table1[[#This Row],[Date]],"ddd")</f>
        <v>Fri</v>
      </c>
    </row>
    <row r="133" spans="1:12" x14ac:dyDescent="0.3">
      <c r="A133" s="9">
        <v>44355</v>
      </c>
      <c r="B133" s="1" t="s">
        <v>22</v>
      </c>
      <c r="C133" s="1" t="s">
        <v>21</v>
      </c>
      <c r="D133" s="1" t="s">
        <v>13</v>
      </c>
      <c r="E133" s="1">
        <v>699</v>
      </c>
      <c r="F133" s="1">
        <v>45</v>
      </c>
      <c r="G133" s="10">
        <v>31455</v>
      </c>
      <c r="H133" s="1">
        <f>Table1[[#This Row],[Price]]*Table1[[#This Row],[Units]]</f>
        <v>31455</v>
      </c>
      <c r="I133" s="1">
        <f>YEAR(Table1[[#This Row],[Date]])</f>
        <v>2021</v>
      </c>
      <c r="J133" t="str">
        <f>TEXT(Table1[[#This Row],[Date]],"MMM")</f>
        <v>Jun</v>
      </c>
      <c r="K133">
        <f>DAY(Table1[[#This Row],[Date]])</f>
        <v>8</v>
      </c>
      <c r="L133" t="str">
        <f>TEXT(Table1[[#This Row],[Date]],"ddd")</f>
        <v>Tue</v>
      </c>
    </row>
    <row r="134" spans="1:12" x14ac:dyDescent="0.3">
      <c r="A134" s="9">
        <v>44359</v>
      </c>
      <c r="B134" s="1" t="s">
        <v>6</v>
      </c>
      <c r="C134" s="1" t="s">
        <v>7</v>
      </c>
      <c r="D134" s="1" t="s">
        <v>8</v>
      </c>
      <c r="E134" s="1">
        <v>2550</v>
      </c>
      <c r="F134" s="1">
        <v>22</v>
      </c>
      <c r="G134" s="10">
        <v>56100</v>
      </c>
      <c r="H134" s="1">
        <f>Table1[[#This Row],[Price]]*Table1[[#This Row],[Units]]</f>
        <v>56100</v>
      </c>
      <c r="I134" s="1">
        <f>YEAR(Table1[[#This Row],[Date]])</f>
        <v>2021</v>
      </c>
      <c r="J134" t="str">
        <f>TEXT(Table1[[#This Row],[Date]],"MMM")</f>
        <v>Jun</v>
      </c>
      <c r="K134">
        <f>DAY(Table1[[#This Row],[Date]])</f>
        <v>12</v>
      </c>
      <c r="L134" t="str">
        <f>TEXT(Table1[[#This Row],[Date]],"ddd")</f>
        <v>Sat</v>
      </c>
    </row>
    <row r="135" spans="1:12" x14ac:dyDescent="0.3">
      <c r="A135" s="9">
        <v>44363</v>
      </c>
      <c r="B135" s="1" t="s">
        <v>11</v>
      </c>
      <c r="C135" s="1" t="s">
        <v>19</v>
      </c>
      <c r="D135" s="1" t="s">
        <v>20</v>
      </c>
      <c r="E135" s="1">
        <v>22000</v>
      </c>
      <c r="F135" s="1">
        <v>4</v>
      </c>
      <c r="G135" s="10">
        <v>88000</v>
      </c>
      <c r="H135" s="1">
        <f>Table1[[#This Row],[Price]]*Table1[[#This Row],[Units]]</f>
        <v>88000</v>
      </c>
      <c r="I135" s="1">
        <f>YEAR(Table1[[#This Row],[Date]])</f>
        <v>2021</v>
      </c>
      <c r="J135" t="str">
        <f>TEXT(Table1[[#This Row],[Date]],"MMM")</f>
        <v>Jun</v>
      </c>
      <c r="K135">
        <f>DAY(Table1[[#This Row],[Date]])</f>
        <v>16</v>
      </c>
      <c r="L135" t="str">
        <f>TEXT(Table1[[#This Row],[Date]],"ddd")</f>
        <v>Wed</v>
      </c>
    </row>
    <row r="136" spans="1:12" x14ac:dyDescent="0.3">
      <c r="A136" s="9">
        <v>44367</v>
      </c>
      <c r="B136" s="1" t="s">
        <v>18</v>
      </c>
      <c r="C136" s="1" t="s">
        <v>19</v>
      </c>
      <c r="D136" s="1" t="s">
        <v>8</v>
      </c>
      <c r="E136" s="1">
        <v>22000</v>
      </c>
      <c r="F136" s="1">
        <v>10</v>
      </c>
      <c r="G136" s="10">
        <v>220000</v>
      </c>
      <c r="H136" s="1">
        <f>Table1[[#This Row],[Price]]*Table1[[#This Row],[Units]]</f>
        <v>220000</v>
      </c>
      <c r="I136" s="1">
        <f>YEAR(Table1[[#This Row],[Date]])</f>
        <v>2021</v>
      </c>
      <c r="J136" t="str">
        <f>TEXT(Table1[[#This Row],[Date]],"MMM")</f>
        <v>Jun</v>
      </c>
      <c r="K136">
        <f>DAY(Table1[[#This Row],[Date]])</f>
        <v>20</v>
      </c>
      <c r="L136" t="str">
        <f>TEXT(Table1[[#This Row],[Date]],"ddd")</f>
        <v>Sun</v>
      </c>
    </row>
    <row r="137" spans="1:12" x14ac:dyDescent="0.3">
      <c r="A137" s="9">
        <v>44371</v>
      </c>
      <c r="B137" s="1" t="s">
        <v>9</v>
      </c>
      <c r="C137" s="1" t="s">
        <v>21</v>
      </c>
      <c r="D137" s="1" t="s">
        <v>13</v>
      </c>
      <c r="E137" s="1">
        <v>1499</v>
      </c>
      <c r="F137" s="1">
        <v>16</v>
      </c>
      <c r="G137" s="10">
        <v>23984</v>
      </c>
      <c r="H137" s="1">
        <f>Table1[[#This Row],[Price]]*Table1[[#This Row],[Units]]</f>
        <v>23984</v>
      </c>
      <c r="I137" s="1">
        <f>YEAR(Table1[[#This Row],[Date]])</f>
        <v>2021</v>
      </c>
      <c r="J137" t="str">
        <f>TEXT(Table1[[#This Row],[Date]],"MMM")</f>
        <v>Jun</v>
      </c>
      <c r="K137">
        <f>DAY(Table1[[#This Row],[Date]])</f>
        <v>24</v>
      </c>
      <c r="L137" t="str">
        <f>TEXT(Table1[[#This Row],[Date]],"ddd")</f>
        <v>Thu</v>
      </c>
    </row>
    <row r="138" spans="1:12" x14ac:dyDescent="0.3">
      <c r="A138" s="9">
        <v>44375</v>
      </c>
      <c r="B138" s="1" t="s">
        <v>14</v>
      </c>
      <c r="C138" s="1" t="s">
        <v>16</v>
      </c>
      <c r="D138" s="1" t="s">
        <v>20</v>
      </c>
      <c r="E138" s="1">
        <v>120</v>
      </c>
      <c r="F138" s="1">
        <v>22</v>
      </c>
      <c r="G138" s="10">
        <v>2640</v>
      </c>
      <c r="H138" s="1">
        <f>Table1[[#This Row],[Price]]*Table1[[#This Row],[Units]]</f>
        <v>2640</v>
      </c>
      <c r="I138" s="1">
        <f>YEAR(Table1[[#This Row],[Date]])</f>
        <v>2021</v>
      </c>
      <c r="J138" t="str">
        <f>TEXT(Table1[[#This Row],[Date]],"MMM")</f>
        <v>Jun</v>
      </c>
      <c r="K138">
        <f>DAY(Table1[[#This Row],[Date]])</f>
        <v>28</v>
      </c>
      <c r="L138" t="str">
        <f>TEXT(Table1[[#This Row],[Date]],"ddd")</f>
        <v>Mon</v>
      </c>
    </row>
    <row r="139" spans="1:12" x14ac:dyDescent="0.3">
      <c r="A139" s="9">
        <v>44379</v>
      </c>
      <c r="B139" s="1" t="s">
        <v>6</v>
      </c>
      <c r="C139" s="1" t="s">
        <v>7</v>
      </c>
      <c r="D139" s="1" t="s">
        <v>10</v>
      </c>
      <c r="E139" s="1">
        <v>1450</v>
      </c>
      <c r="F139" s="1">
        <v>20</v>
      </c>
      <c r="G139" s="10">
        <v>29000</v>
      </c>
      <c r="H139" s="1">
        <f>Table1[[#This Row],[Price]]*Table1[[#This Row],[Units]]</f>
        <v>29000</v>
      </c>
      <c r="I139" s="1">
        <f>YEAR(Table1[[#This Row],[Date]])</f>
        <v>2021</v>
      </c>
      <c r="J139" t="str">
        <f>TEXT(Table1[[#This Row],[Date]],"MMM")</f>
        <v>Jul</v>
      </c>
      <c r="K139">
        <f>DAY(Table1[[#This Row],[Date]])</f>
        <v>2</v>
      </c>
      <c r="L139" t="str">
        <f>TEXT(Table1[[#This Row],[Date]],"ddd")</f>
        <v>Fri</v>
      </c>
    </row>
    <row r="140" spans="1:12" x14ac:dyDescent="0.3">
      <c r="A140" s="9">
        <v>44383</v>
      </c>
      <c r="B140" s="1" t="s">
        <v>22</v>
      </c>
      <c r="C140" s="1" t="s">
        <v>21</v>
      </c>
      <c r="D140" s="1" t="s">
        <v>13</v>
      </c>
      <c r="E140" s="1">
        <v>1999</v>
      </c>
      <c r="F140" s="1">
        <v>23</v>
      </c>
      <c r="G140" s="10">
        <v>45977</v>
      </c>
      <c r="H140" s="1">
        <f>Table1[[#This Row],[Price]]*Table1[[#This Row],[Units]]</f>
        <v>45977</v>
      </c>
      <c r="I140" s="1">
        <f>YEAR(Table1[[#This Row],[Date]])</f>
        <v>2021</v>
      </c>
      <c r="J140" t="str">
        <f>TEXT(Table1[[#This Row],[Date]],"MMM")</f>
        <v>Jul</v>
      </c>
      <c r="K140">
        <f>DAY(Table1[[#This Row],[Date]])</f>
        <v>6</v>
      </c>
      <c r="L140" t="str">
        <f>TEXT(Table1[[#This Row],[Date]],"ddd")</f>
        <v>Tue</v>
      </c>
    </row>
    <row r="141" spans="1:12" x14ac:dyDescent="0.3">
      <c r="A141" s="9">
        <v>44387</v>
      </c>
      <c r="B141" s="1" t="s">
        <v>9</v>
      </c>
      <c r="C141" s="1" t="s">
        <v>7</v>
      </c>
      <c r="D141" s="1" t="s">
        <v>23</v>
      </c>
      <c r="E141" s="1">
        <v>800</v>
      </c>
      <c r="F141" s="1">
        <v>43</v>
      </c>
      <c r="G141" s="10">
        <v>34400</v>
      </c>
      <c r="H141" s="1">
        <f>Table1[[#This Row],[Price]]*Table1[[#This Row],[Units]]</f>
        <v>34400</v>
      </c>
      <c r="I141" s="1">
        <f>YEAR(Table1[[#This Row],[Date]])</f>
        <v>2021</v>
      </c>
      <c r="J141" t="str">
        <f>TEXT(Table1[[#This Row],[Date]],"MMM")</f>
        <v>Jul</v>
      </c>
      <c r="K141">
        <f>DAY(Table1[[#This Row],[Date]])</f>
        <v>10</v>
      </c>
      <c r="L141" t="str">
        <f>TEXT(Table1[[#This Row],[Date]],"ddd")</f>
        <v>Sat</v>
      </c>
    </row>
    <row r="142" spans="1:12" x14ac:dyDescent="0.3">
      <c r="A142" s="9">
        <v>44391</v>
      </c>
      <c r="B142" s="1" t="s">
        <v>14</v>
      </c>
      <c r="C142" s="1" t="s">
        <v>16</v>
      </c>
      <c r="D142" s="1" t="s">
        <v>20</v>
      </c>
      <c r="E142" s="1">
        <v>100</v>
      </c>
      <c r="F142" s="1">
        <v>41</v>
      </c>
      <c r="G142" s="10">
        <v>4100</v>
      </c>
      <c r="H142" s="1">
        <f>Table1[[#This Row],[Price]]*Table1[[#This Row],[Units]]</f>
        <v>4100</v>
      </c>
      <c r="I142" s="1">
        <f>YEAR(Table1[[#This Row],[Date]])</f>
        <v>2021</v>
      </c>
      <c r="J142" t="str">
        <f>TEXT(Table1[[#This Row],[Date]],"MMM")</f>
        <v>Jul</v>
      </c>
      <c r="K142">
        <f>DAY(Table1[[#This Row],[Date]])</f>
        <v>14</v>
      </c>
      <c r="L142" t="str">
        <f>TEXT(Table1[[#This Row],[Date]],"ddd")</f>
        <v>Wed</v>
      </c>
    </row>
    <row r="143" spans="1:12" x14ac:dyDescent="0.3">
      <c r="A143" s="9">
        <v>44395</v>
      </c>
      <c r="B143" s="1" t="s">
        <v>6</v>
      </c>
      <c r="C143" s="1" t="s">
        <v>15</v>
      </c>
      <c r="D143" s="1" t="s">
        <v>20</v>
      </c>
      <c r="E143" s="1">
        <v>13999</v>
      </c>
      <c r="F143" s="1">
        <v>37</v>
      </c>
      <c r="G143" s="10">
        <v>517963</v>
      </c>
      <c r="H143" s="1">
        <f>Table1[[#This Row],[Price]]*Table1[[#This Row],[Units]]</f>
        <v>517963</v>
      </c>
      <c r="I143" s="1">
        <f>YEAR(Table1[[#This Row],[Date]])</f>
        <v>2021</v>
      </c>
      <c r="J143" t="str">
        <f>TEXT(Table1[[#This Row],[Date]],"MMM")</f>
        <v>Jul</v>
      </c>
      <c r="K143">
        <f>DAY(Table1[[#This Row],[Date]])</f>
        <v>18</v>
      </c>
      <c r="L143" t="str">
        <f>TEXT(Table1[[#This Row],[Date]],"ddd")</f>
        <v>Sun</v>
      </c>
    </row>
    <row r="144" spans="1:12" x14ac:dyDescent="0.3">
      <c r="A144" s="9">
        <v>44399</v>
      </c>
      <c r="B144" s="1" t="s">
        <v>11</v>
      </c>
      <c r="C144" s="1" t="s">
        <v>19</v>
      </c>
      <c r="D144" s="1" t="s">
        <v>17</v>
      </c>
      <c r="E144" s="1">
        <v>22000</v>
      </c>
      <c r="F144" s="1">
        <v>45</v>
      </c>
      <c r="G144" s="10">
        <v>990000</v>
      </c>
      <c r="H144" s="1">
        <f>Table1[[#This Row],[Price]]*Table1[[#This Row],[Units]]</f>
        <v>990000</v>
      </c>
      <c r="I144" s="1">
        <f>YEAR(Table1[[#This Row],[Date]])</f>
        <v>2021</v>
      </c>
      <c r="J144" t="str">
        <f>TEXT(Table1[[#This Row],[Date]],"MMM")</f>
        <v>Jul</v>
      </c>
      <c r="K144">
        <f>DAY(Table1[[#This Row],[Date]])</f>
        <v>22</v>
      </c>
      <c r="L144" t="str">
        <f>TEXT(Table1[[#This Row],[Date]],"ddd")</f>
        <v>Thu</v>
      </c>
    </row>
    <row r="145" spans="1:12" x14ac:dyDescent="0.3">
      <c r="A145" s="9">
        <v>44403</v>
      </c>
      <c r="B145" s="1" t="s">
        <v>18</v>
      </c>
      <c r="C145" s="1" t="s">
        <v>19</v>
      </c>
      <c r="D145" s="1" t="s">
        <v>23</v>
      </c>
      <c r="E145" s="1">
        <v>89999</v>
      </c>
      <c r="F145" s="1">
        <v>15</v>
      </c>
      <c r="G145" s="10">
        <v>1349985</v>
      </c>
      <c r="H145" s="1">
        <f>Table1[[#This Row],[Price]]*Table1[[#This Row],[Units]]</f>
        <v>1349985</v>
      </c>
      <c r="I145" s="1">
        <f>YEAR(Table1[[#This Row],[Date]])</f>
        <v>2021</v>
      </c>
      <c r="J145" t="str">
        <f>TEXT(Table1[[#This Row],[Date]],"MMM")</f>
        <v>Jul</v>
      </c>
      <c r="K145">
        <f>DAY(Table1[[#This Row],[Date]])</f>
        <v>26</v>
      </c>
      <c r="L145" t="str">
        <f>TEXT(Table1[[#This Row],[Date]],"ddd")</f>
        <v>Mon</v>
      </c>
    </row>
    <row r="146" spans="1:12" x14ac:dyDescent="0.3">
      <c r="A146" s="9">
        <v>44407</v>
      </c>
      <c r="B146" s="1" t="s">
        <v>6</v>
      </c>
      <c r="C146" s="1" t="s">
        <v>7</v>
      </c>
      <c r="D146" s="1" t="s">
        <v>17</v>
      </c>
      <c r="E146" s="1">
        <v>13999</v>
      </c>
      <c r="F146" s="1">
        <v>22</v>
      </c>
      <c r="G146" s="10">
        <v>307978</v>
      </c>
      <c r="H146" s="1">
        <f>Table1[[#This Row],[Price]]*Table1[[#This Row],[Units]]</f>
        <v>307978</v>
      </c>
      <c r="I146" s="1">
        <f>YEAR(Table1[[#This Row],[Date]])</f>
        <v>2021</v>
      </c>
      <c r="J146" t="str">
        <f>TEXT(Table1[[#This Row],[Date]],"MMM")</f>
        <v>Jul</v>
      </c>
      <c r="K146">
        <f>DAY(Table1[[#This Row],[Date]])</f>
        <v>30</v>
      </c>
      <c r="L146" t="str">
        <f>TEXT(Table1[[#This Row],[Date]],"ddd")</f>
        <v>Fri</v>
      </c>
    </row>
    <row r="147" spans="1:12" x14ac:dyDescent="0.3">
      <c r="A147" s="9">
        <v>44411</v>
      </c>
      <c r="B147" s="1" t="s">
        <v>9</v>
      </c>
      <c r="C147" s="1" t="s">
        <v>21</v>
      </c>
      <c r="D147" s="1" t="s">
        <v>13</v>
      </c>
      <c r="E147" s="1">
        <v>2900</v>
      </c>
      <c r="F147" s="1">
        <v>20</v>
      </c>
      <c r="G147" s="10">
        <v>58000</v>
      </c>
      <c r="H147" s="1">
        <f>Table1[[#This Row],[Price]]*Table1[[#This Row],[Units]]</f>
        <v>58000</v>
      </c>
      <c r="I147" s="1">
        <f>YEAR(Table1[[#This Row],[Date]])</f>
        <v>2021</v>
      </c>
      <c r="J147" t="str">
        <f>TEXT(Table1[[#This Row],[Date]],"MMM")</f>
        <v>Aug</v>
      </c>
      <c r="K147">
        <f>DAY(Table1[[#This Row],[Date]])</f>
        <v>3</v>
      </c>
      <c r="L147" t="str">
        <f>TEXT(Table1[[#This Row],[Date]],"ddd")</f>
        <v>Tue</v>
      </c>
    </row>
    <row r="148" spans="1:12" x14ac:dyDescent="0.3">
      <c r="A148" s="9">
        <v>44415</v>
      </c>
      <c r="B148" s="1" t="s">
        <v>18</v>
      </c>
      <c r="C148" s="1" t="s">
        <v>19</v>
      </c>
      <c r="D148" s="1" t="s">
        <v>17</v>
      </c>
      <c r="E148" s="1">
        <v>33000</v>
      </c>
      <c r="F148" s="1">
        <v>16</v>
      </c>
      <c r="G148" s="10">
        <v>528000</v>
      </c>
      <c r="H148" s="1">
        <f>Table1[[#This Row],[Price]]*Table1[[#This Row],[Units]]</f>
        <v>528000</v>
      </c>
      <c r="I148" s="1">
        <f>YEAR(Table1[[#This Row],[Date]])</f>
        <v>2021</v>
      </c>
      <c r="J148" t="str">
        <f>TEXT(Table1[[#This Row],[Date]],"MMM")</f>
        <v>Aug</v>
      </c>
      <c r="K148">
        <f>DAY(Table1[[#This Row],[Date]])</f>
        <v>7</v>
      </c>
      <c r="L148" t="str">
        <f>TEXT(Table1[[#This Row],[Date]],"ddd")</f>
        <v>Sat</v>
      </c>
    </row>
    <row r="149" spans="1:12" x14ac:dyDescent="0.3">
      <c r="A149" s="9">
        <v>44419</v>
      </c>
      <c r="B149" s="1" t="s">
        <v>9</v>
      </c>
      <c r="C149" s="1" t="s">
        <v>19</v>
      </c>
      <c r="D149" s="1" t="s">
        <v>10</v>
      </c>
      <c r="E149" s="1">
        <v>22000</v>
      </c>
      <c r="F149" s="1">
        <v>17</v>
      </c>
      <c r="G149" s="10">
        <v>374000</v>
      </c>
      <c r="H149" s="1">
        <f>Table1[[#This Row],[Price]]*Table1[[#This Row],[Units]]</f>
        <v>374000</v>
      </c>
      <c r="I149" s="1">
        <f>YEAR(Table1[[#This Row],[Date]])</f>
        <v>2021</v>
      </c>
      <c r="J149" t="str">
        <f>TEXT(Table1[[#This Row],[Date]],"MMM")</f>
        <v>Aug</v>
      </c>
      <c r="K149">
        <f>DAY(Table1[[#This Row],[Date]])</f>
        <v>11</v>
      </c>
      <c r="L149" t="str">
        <f>TEXT(Table1[[#This Row],[Date]],"ddd")</f>
        <v>Wed</v>
      </c>
    </row>
    <row r="150" spans="1:12" x14ac:dyDescent="0.3">
      <c r="A150" s="9">
        <v>44423</v>
      </c>
      <c r="B150" s="1" t="s">
        <v>9</v>
      </c>
      <c r="C150" s="1" t="s">
        <v>21</v>
      </c>
      <c r="D150" s="1" t="s">
        <v>10</v>
      </c>
      <c r="E150" s="1">
        <v>45000</v>
      </c>
      <c r="F150" s="1">
        <v>50</v>
      </c>
      <c r="G150" s="10">
        <v>2250000</v>
      </c>
      <c r="H150" s="1">
        <f>Table1[[#This Row],[Price]]*Table1[[#This Row],[Units]]</f>
        <v>2250000</v>
      </c>
      <c r="I150" s="1">
        <f>YEAR(Table1[[#This Row],[Date]])</f>
        <v>2021</v>
      </c>
      <c r="J150" t="str">
        <f>TEXT(Table1[[#This Row],[Date]],"MMM")</f>
        <v>Aug</v>
      </c>
      <c r="K150">
        <f>DAY(Table1[[#This Row],[Date]])</f>
        <v>15</v>
      </c>
      <c r="L150" t="str">
        <f>TEXT(Table1[[#This Row],[Date]],"ddd")</f>
        <v>Sun</v>
      </c>
    </row>
    <row r="151" spans="1:12" x14ac:dyDescent="0.3">
      <c r="A151" s="9">
        <v>44427</v>
      </c>
      <c r="B151" s="1" t="s">
        <v>18</v>
      </c>
      <c r="C151" s="1" t="s">
        <v>15</v>
      </c>
      <c r="D151" s="1" t="s">
        <v>13</v>
      </c>
      <c r="E151" s="1">
        <v>499</v>
      </c>
      <c r="F151" s="1">
        <v>4</v>
      </c>
      <c r="G151" s="10">
        <v>1996</v>
      </c>
      <c r="H151" s="1">
        <f>Table1[[#This Row],[Price]]*Table1[[#This Row],[Units]]</f>
        <v>1996</v>
      </c>
      <c r="I151" s="1">
        <f>YEAR(Table1[[#This Row],[Date]])</f>
        <v>2021</v>
      </c>
      <c r="J151" t="str">
        <f>TEXT(Table1[[#This Row],[Date]],"MMM")</f>
        <v>Aug</v>
      </c>
      <c r="K151">
        <f>DAY(Table1[[#This Row],[Date]])</f>
        <v>19</v>
      </c>
      <c r="L151" t="str">
        <f>TEXT(Table1[[#This Row],[Date]],"ddd")</f>
        <v>Thu</v>
      </c>
    </row>
    <row r="152" spans="1:12" x14ac:dyDescent="0.3">
      <c r="A152" s="9">
        <v>44431</v>
      </c>
      <c r="B152" s="1" t="s">
        <v>22</v>
      </c>
      <c r="C152" s="1" t="s">
        <v>21</v>
      </c>
      <c r="D152" s="1" t="s">
        <v>17</v>
      </c>
      <c r="E152" s="1">
        <v>590</v>
      </c>
      <c r="F152" s="1">
        <v>43</v>
      </c>
      <c r="G152" s="10">
        <v>25370</v>
      </c>
      <c r="H152" s="1">
        <f>Table1[[#This Row],[Price]]*Table1[[#This Row],[Units]]</f>
        <v>25370</v>
      </c>
      <c r="I152" s="1">
        <f>YEAR(Table1[[#This Row],[Date]])</f>
        <v>2021</v>
      </c>
      <c r="J152" t="str">
        <f>TEXT(Table1[[#This Row],[Date]],"MMM")</f>
        <v>Aug</v>
      </c>
      <c r="K152">
        <f>DAY(Table1[[#This Row],[Date]])</f>
        <v>23</v>
      </c>
      <c r="L152" t="str">
        <f>TEXT(Table1[[#This Row],[Date]],"ddd")</f>
        <v>Mon</v>
      </c>
    </row>
    <row r="153" spans="1:12" x14ac:dyDescent="0.3">
      <c r="A153" s="9">
        <v>44435</v>
      </c>
      <c r="B153" s="1" t="s">
        <v>11</v>
      </c>
      <c r="C153" s="1" t="s">
        <v>21</v>
      </c>
      <c r="D153" s="1" t="s">
        <v>10</v>
      </c>
      <c r="E153" s="1">
        <v>590</v>
      </c>
      <c r="F153" s="1">
        <v>42</v>
      </c>
      <c r="G153" s="10">
        <v>24780</v>
      </c>
      <c r="H153" s="1">
        <f>Table1[[#This Row],[Price]]*Table1[[#This Row],[Units]]</f>
        <v>24780</v>
      </c>
      <c r="I153" s="1">
        <f>YEAR(Table1[[#This Row],[Date]])</f>
        <v>2021</v>
      </c>
      <c r="J153" t="str">
        <f>TEXT(Table1[[#This Row],[Date]],"MMM")</f>
        <v>Aug</v>
      </c>
      <c r="K153">
        <f>DAY(Table1[[#This Row],[Date]])</f>
        <v>27</v>
      </c>
      <c r="L153" t="str">
        <f>TEXT(Table1[[#This Row],[Date]],"ddd")</f>
        <v>Fri</v>
      </c>
    </row>
    <row r="154" spans="1:12" x14ac:dyDescent="0.3">
      <c r="A154" s="9">
        <v>44439</v>
      </c>
      <c r="B154" s="1" t="s">
        <v>14</v>
      </c>
      <c r="C154" s="1" t="s">
        <v>16</v>
      </c>
      <c r="D154" s="1" t="s">
        <v>8</v>
      </c>
      <c r="E154" s="1">
        <v>12000</v>
      </c>
      <c r="F154" s="1">
        <v>9</v>
      </c>
      <c r="G154" s="10">
        <v>108000</v>
      </c>
      <c r="H154" s="1">
        <f>Table1[[#This Row],[Price]]*Table1[[#This Row],[Units]]</f>
        <v>108000</v>
      </c>
      <c r="I154" s="1">
        <f>YEAR(Table1[[#This Row],[Date]])</f>
        <v>2021</v>
      </c>
      <c r="J154" t="str">
        <f>TEXT(Table1[[#This Row],[Date]],"MMM")</f>
        <v>Aug</v>
      </c>
      <c r="K154">
        <f>DAY(Table1[[#This Row],[Date]])</f>
        <v>31</v>
      </c>
      <c r="L154" t="str">
        <f>TEXT(Table1[[#This Row],[Date]],"ddd")</f>
        <v>Tue</v>
      </c>
    </row>
    <row r="155" spans="1:12" x14ac:dyDescent="0.3">
      <c r="A155" s="9">
        <v>44443</v>
      </c>
      <c r="B155" s="1" t="s">
        <v>18</v>
      </c>
      <c r="C155" s="1" t="s">
        <v>19</v>
      </c>
      <c r="D155" s="1" t="s">
        <v>23</v>
      </c>
      <c r="E155" s="1">
        <v>52000</v>
      </c>
      <c r="F155" s="1">
        <v>40</v>
      </c>
      <c r="G155" s="10">
        <v>2080000</v>
      </c>
      <c r="H155" s="1">
        <f>Table1[[#This Row],[Price]]*Table1[[#This Row],[Units]]</f>
        <v>2080000</v>
      </c>
      <c r="I155" s="1">
        <f>YEAR(Table1[[#This Row],[Date]])</f>
        <v>2021</v>
      </c>
      <c r="J155" t="str">
        <f>TEXT(Table1[[#This Row],[Date]],"MMM")</f>
        <v>Sep</v>
      </c>
      <c r="K155">
        <f>DAY(Table1[[#This Row],[Date]])</f>
        <v>4</v>
      </c>
      <c r="L155" t="str">
        <f>TEXT(Table1[[#This Row],[Date]],"ddd")</f>
        <v>Sat</v>
      </c>
    </row>
    <row r="156" spans="1:12" x14ac:dyDescent="0.3">
      <c r="A156" s="9">
        <v>44447</v>
      </c>
      <c r="B156" s="1" t="s">
        <v>18</v>
      </c>
      <c r="C156" s="1" t="s">
        <v>12</v>
      </c>
      <c r="D156" s="1" t="s">
        <v>17</v>
      </c>
      <c r="E156" s="1">
        <v>7999</v>
      </c>
      <c r="F156" s="1">
        <v>14</v>
      </c>
      <c r="G156" s="10">
        <v>111986</v>
      </c>
      <c r="H156" s="1">
        <f>Table1[[#This Row],[Price]]*Table1[[#This Row],[Units]]</f>
        <v>111986</v>
      </c>
      <c r="I156" s="1">
        <f>YEAR(Table1[[#This Row],[Date]])</f>
        <v>2021</v>
      </c>
      <c r="J156" t="str">
        <f>TEXT(Table1[[#This Row],[Date]],"MMM")</f>
        <v>Sep</v>
      </c>
      <c r="K156">
        <f>DAY(Table1[[#This Row],[Date]])</f>
        <v>8</v>
      </c>
      <c r="L156" t="str">
        <f>TEXT(Table1[[#This Row],[Date]],"ddd")</f>
        <v>Wed</v>
      </c>
    </row>
    <row r="157" spans="1:12" x14ac:dyDescent="0.3">
      <c r="A157" s="9">
        <v>44451</v>
      </c>
      <c r="B157" s="1" t="s">
        <v>9</v>
      </c>
      <c r="C157" s="1" t="s">
        <v>12</v>
      </c>
      <c r="D157" s="1" t="s">
        <v>20</v>
      </c>
      <c r="E157" s="1">
        <v>5000</v>
      </c>
      <c r="F157" s="1">
        <v>9</v>
      </c>
      <c r="G157" s="10">
        <v>45000</v>
      </c>
      <c r="H157" s="1">
        <f>Table1[[#This Row],[Price]]*Table1[[#This Row],[Units]]</f>
        <v>45000</v>
      </c>
      <c r="I157" s="1">
        <f>YEAR(Table1[[#This Row],[Date]])</f>
        <v>2021</v>
      </c>
      <c r="J157" t="str">
        <f>TEXT(Table1[[#This Row],[Date]],"MMM")</f>
        <v>Sep</v>
      </c>
      <c r="K157">
        <f>DAY(Table1[[#This Row],[Date]])</f>
        <v>12</v>
      </c>
      <c r="L157" t="str">
        <f>TEXT(Table1[[#This Row],[Date]],"ddd")</f>
        <v>Sun</v>
      </c>
    </row>
    <row r="158" spans="1:12" x14ac:dyDescent="0.3">
      <c r="A158" s="9">
        <v>44455</v>
      </c>
      <c r="B158" s="1" t="s">
        <v>18</v>
      </c>
      <c r="C158" s="1" t="s">
        <v>19</v>
      </c>
      <c r="D158" s="1" t="s">
        <v>17</v>
      </c>
      <c r="E158" s="1">
        <v>79999</v>
      </c>
      <c r="F158" s="1">
        <v>10</v>
      </c>
      <c r="G158" s="10">
        <v>799990</v>
      </c>
      <c r="H158" s="1">
        <f>Table1[[#This Row],[Price]]*Table1[[#This Row],[Units]]</f>
        <v>799990</v>
      </c>
      <c r="I158" s="1">
        <f>YEAR(Table1[[#This Row],[Date]])</f>
        <v>2021</v>
      </c>
      <c r="J158" t="str">
        <f>TEXT(Table1[[#This Row],[Date]],"MMM")</f>
        <v>Sep</v>
      </c>
      <c r="K158">
        <f>DAY(Table1[[#This Row],[Date]])</f>
        <v>16</v>
      </c>
      <c r="L158" t="str">
        <f>TEXT(Table1[[#This Row],[Date]],"ddd")</f>
        <v>Thu</v>
      </c>
    </row>
    <row r="159" spans="1:12" x14ac:dyDescent="0.3">
      <c r="A159" s="9">
        <v>44459</v>
      </c>
      <c r="B159" s="1" t="s">
        <v>22</v>
      </c>
      <c r="C159" s="1" t="s">
        <v>15</v>
      </c>
      <c r="D159" s="1" t="s">
        <v>13</v>
      </c>
      <c r="E159" s="1">
        <v>1999</v>
      </c>
      <c r="F159" s="1">
        <v>37</v>
      </c>
      <c r="G159" s="10">
        <v>73963</v>
      </c>
      <c r="H159" s="1">
        <f>Table1[[#This Row],[Price]]*Table1[[#This Row],[Units]]</f>
        <v>73963</v>
      </c>
      <c r="I159" s="1">
        <f>YEAR(Table1[[#This Row],[Date]])</f>
        <v>2021</v>
      </c>
      <c r="J159" t="str">
        <f>TEXT(Table1[[#This Row],[Date]],"MMM")</f>
        <v>Sep</v>
      </c>
      <c r="K159">
        <f>DAY(Table1[[#This Row],[Date]])</f>
        <v>20</v>
      </c>
      <c r="L159" t="str">
        <f>TEXT(Table1[[#This Row],[Date]],"ddd")</f>
        <v>Mon</v>
      </c>
    </row>
    <row r="160" spans="1:12" x14ac:dyDescent="0.3">
      <c r="A160" s="9">
        <v>44463</v>
      </c>
      <c r="B160" s="1" t="s">
        <v>18</v>
      </c>
      <c r="C160" s="1" t="s">
        <v>19</v>
      </c>
      <c r="D160" s="1" t="s">
        <v>17</v>
      </c>
      <c r="E160" s="1">
        <v>89999</v>
      </c>
      <c r="F160" s="1">
        <v>29</v>
      </c>
      <c r="G160" s="10">
        <v>2609971</v>
      </c>
      <c r="H160" s="1">
        <f>Table1[[#This Row],[Price]]*Table1[[#This Row],[Units]]</f>
        <v>2609971</v>
      </c>
      <c r="I160" s="1">
        <f>YEAR(Table1[[#This Row],[Date]])</f>
        <v>2021</v>
      </c>
      <c r="J160" t="str">
        <f>TEXT(Table1[[#This Row],[Date]],"MMM")</f>
        <v>Sep</v>
      </c>
      <c r="K160">
        <f>DAY(Table1[[#This Row],[Date]])</f>
        <v>24</v>
      </c>
      <c r="L160" t="str">
        <f>TEXT(Table1[[#This Row],[Date]],"ddd")</f>
        <v>Fri</v>
      </c>
    </row>
    <row r="161" spans="1:12" x14ac:dyDescent="0.3">
      <c r="A161" s="9">
        <v>44467</v>
      </c>
      <c r="B161" s="1" t="s">
        <v>11</v>
      </c>
      <c r="C161" s="1" t="s">
        <v>19</v>
      </c>
      <c r="D161" s="1" t="s">
        <v>8</v>
      </c>
      <c r="E161" s="1">
        <v>799</v>
      </c>
      <c r="F161" s="1">
        <v>44</v>
      </c>
      <c r="G161" s="10">
        <v>35156</v>
      </c>
      <c r="H161" s="1">
        <f>Table1[[#This Row],[Price]]*Table1[[#This Row],[Units]]</f>
        <v>35156</v>
      </c>
      <c r="I161" s="1">
        <f>YEAR(Table1[[#This Row],[Date]])</f>
        <v>2021</v>
      </c>
      <c r="J161" t="str">
        <f>TEXT(Table1[[#This Row],[Date]],"MMM")</f>
        <v>Sep</v>
      </c>
      <c r="K161">
        <f>DAY(Table1[[#This Row],[Date]])</f>
        <v>28</v>
      </c>
      <c r="L161" t="str">
        <f>TEXT(Table1[[#This Row],[Date]],"ddd")</f>
        <v>Tue</v>
      </c>
    </row>
    <row r="162" spans="1:12" x14ac:dyDescent="0.3">
      <c r="A162" s="9">
        <v>44471</v>
      </c>
      <c r="B162" s="1" t="s">
        <v>18</v>
      </c>
      <c r="C162" s="1" t="s">
        <v>19</v>
      </c>
      <c r="D162" s="1" t="s">
        <v>10</v>
      </c>
      <c r="E162" s="1">
        <v>3990</v>
      </c>
      <c r="F162" s="1">
        <v>31</v>
      </c>
      <c r="G162" s="10">
        <v>123690</v>
      </c>
      <c r="H162" s="1">
        <f>Table1[[#This Row],[Price]]*Table1[[#This Row],[Units]]</f>
        <v>123690</v>
      </c>
      <c r="I162" s="1">
        <f>YEAR(Table1[[#This Row],[Date]])</f>
        <v>2021</v>
      </c>
      <c r="J162" t="str">
        <f>TEXT(Table1[[#This Row],[Date]],"MMM")</f>
        <v>Oct</v>
      </c>
      <c r="K162">
        <f>DAY(Table1[[#This Row],[Date]])</f>
        <v>2</v>
      </c>
      <c r="L162" t="str">
        <f>TEXT(Table1[[#This Row],[Date]],"ddd")</f>
        <v>Sat</v>
      </c>
    </row>
    <row r="163" spans="1:12" x14ac:dyDescent="0.3">
      <c r="A163" s="9">
        <v>44475</v>
      </c>
      <c r="B163" s="1" t="s">
        <v>9</v>
      </c>
      <c r="C163" s="1" t="s">
        <v>19</v>
      </c>
      <c r="D163" s="1" t="s">
        <v>13</v>
      </c>
      <c r="E163" s="1">
        <v>52000</v>
      </c>
      <c r="F163" s="1">
        <v>29</v>
      </c>
      <c r="G163" s="10">
        <v>1508000</v>
      </c>
      <c r="H163" s="1">
        <f>Table1[[#This Row],[Price]]*Table1[[#This Row],[Units]]</f>
        <v>1508000</v>
      </c>
      <c r="I163" s="1">
        <f>YEAR(Table1[[#This Row],[Date]])</f>
        <v>2021</v>
      </c>
      <c r="J163" t="str">
        <f>TEXT(Table1[[#This Row],[Date]],"MMM")</f>
        <v>Oct</v>
      </c>
      <c r="K163">
        <f>DAY(Table1[[#This Row],[Date]])</f>
        <v>6</v>
      </c>
      <c r="L163" t="str">
        <f>TEXT(Table1[[#This Row],[Date]],"ddd")</f>
        <v>Wed</v>
      </c>
    </row>
    <row r="164" spans="1:12" x14ac:dyDescent="0.3">
      <c r="A164" s="9">
        <v>44479</v>
      </c>
      <c r="B164" s="1" t="s">
        <v>9</v>
      </c>
      <c r="C164" s="1" t="s">
        <v>7</v>
      </c>
      <c r="D164" s="1" t="s">
        <v>17</v>
      </c>
      <c r="E164" s="1">
        <v>13999</v>
      </c>
      <c r="F164" s="1">
        <v>34</v>
      </c>
      <c r="G164" s="10">
        <v>475966</v>
      </c>
      <c r="H164" s="1">
        <f>Table1[[#This Row],[Price]]*Table1[[#This Row],[Units]]</f>
        <v>475966</v>
      </c>
      <c r="I164" s="1">
        <f>YEAR(Table1[[#This Row],[Date]])</f>
        <v>2021</v>
      </c>
      <c r="J164" t="str">
        <f>TEXT(Table1[[#This Row],[Date]],"MMM")</f>
        <v>Oct</v>
      </c>
      <c r="K164">
        <f>DAY(Table1[[#This Row],[Date]])</f>
        <v>10</v>
      </c>
      <c r="L164" t="str">
        <f>TEXT(Table1[[#This Row],[Date]],"ddd")</f>
        <v>Sun</v>
      </c>
    </row>
    <row r="165" spans="1:12" x14ac:dyDescent="0.3">
      <c r="A165" s="9">
        <v>44483</v>
      </c>
      <c r="B165" s="1" t="s">
        <v>14</v>
      </c>
      <c r="C165" s="1" t="s">
        <v>16</v>
      </c>
      <c r="D165" s="1" t="s">
        <v>13</v>
      </c>
      <c r="E165" s="1">
        <v>14500</v>
      </c>
      <c r="F165" s="1">
        <v>29</v>
      </c>
      <c r="G165" s="10">
        <v>420500</v>
      </c>
      <c r="H165" s="1">
        <f>Table1[[#This Row],[Price]]*Table1[[#This Row],[Units]]</f>
        <v>420500</v>
      </c>
      <c r="I165" s="1">
        <f>YEAR(Table1[[#This Row],[Date]])</f>
        <v>2021</v>
      </c>
      <c r="J165" t="str">
        <f>TEXT(Table1[[#This Row],[Date]],"MMM")</f>
        <v>Oct</v>
      </c>
      <c r="K165">
        <f>DAY(Table1[[#This Row],[Date]])</f>
        <v>14</v>
      </c>
      <c r="L165" t="str">
        <f>TEXT(Table1[[#This Row],[Date]],"ddd")</f>
        <v>Thu</v>
      </c>
    </row>
    <row r="166" spans="1:12" x14ac:dyDescent="0.3">
      <c r="A166" s="9">
        <v>44487</v>
      </c>
      <c r="B166" s="1" t="s">
        <v>18</v>
      </c>
      <c r="C166" s="1" t="s">
        <v>12</v>
      </c>
      <c r="D166" s="1" t="s">
        <v>23</v>
      </c>
      <c r="E166" s="1">
        <v>23999</v>
      </c>
      <c r="F166" s="1">
        <v>25</v>
      </c>
      <c r="G166" s="10">
        <v>599975</v>
      </c>
      <c r="H166" s="1">
        <f>Table1[[#This Row],[Price]]*Table1[[#This Row],[Units]]</f>
        <v>599975</v>
      </c>
      <c r="I166" s="1">
        <f>YEAR(Table1[[#This Row],[Date]])</f>
        <v>2021</v>
      </c>
      <c r="J166" t="str">
        <f>TEXT(Table1[[#This Row],[Date]],"MMM")</f>
        <v>Oct</v>
      </c>
      <c r="K166">
        <f>DAY(Table1[[#This Row],[Date]])</f>
        <v>18</v>
      </c>
      <c r="L166" t="str">
        <f>TEXT(Table1[[#This Row],[Date]],"ddd")</f>
        <v>Mon</v>
      </c>
    </row>
    <row r="167" spans="1:12" x14ac:dyDescent="0.3">
      <c r="A167" s="9">
        <v>44491</v>
      </c>
      <c r="B167" s="1" t="s">
        <v>18</v>
      </c>
      <c r="C167" s="1" t="s">
        <v>12</v>
      </c>
      <c r="D167" s="1" t="s">
        <v>17</v>
      </c>
      <c r="E167" s="1">
        <v>1250</v>
      </c>
      <c r="F167" s="1">
        <v>31</v>
      </c>
      <c r="G167" s="10">
        <v>38750</v>
      </c>
      <c r="H167" s="1">
        <f>Table1[[#This Row],[Price]]*Table1[[#This Row],[Units]]</f>
        <v>38750</v>
      </c>
      <c r="I167" s="1">
        <f>YEAR(Table1[[#This Row],[Date]])</f>
        <v>2021</v>
      </c>
      <c r="J167" t="str">
        <f>TEXT(Table1[[#This Row],[Date]],"MMM")</f>
        <v>Oct</v>
      </c>
      <c r="K167">
        <f>DAY(Table1[[#This Row],[Date]])</f>
        <v>22</v>
      </c>
      <c r="L167" t="str">
        <f>TEXT(Table1[[#This Row],[Date]],"ddd")</f>
        <v>Fri</v>
      </c>
    </row>
    <row r="168" spans="1:12" x14ac:dyDescent="0.3">
      <c r="A168" s="9">
        <v>44495</v>
      </c>
      <c r="B168" s="1" t="s">
        <v>22</v>
      </c>
      <c r="C168" s="1" t="s">
        <v>15</v>
      </c>
      <c r="D168" s="1" t="s">
        <v>17</v>
      </c>
      <c r="E168" s="1">
        <v>35600</v>
      </c>
      <c r="F168" s="1">
        <v>16</v>
      </c>
      <c r="G168" s="10">
        <v>569600</v>
      </c>
      <c r="H168" s="1">
        <f>Table1[[#This Row],[Price]]*Table1[[#This Row],[Units]]</f>
        <v>569600</v>
      </c>
      <c r="I168" s="1">
        <f>YEAR(Table1[[#This Row],[Date]])</f>
        <v>2021</v>
      </c>
      <c r="J168" t="str">
        <f>TEXT(Table1[[#This Row],[Date]],"MMM")</f>
        <v>Oct</v>
      </c>
      <c r="K168">
        <f>DAY(Table1[[#This Row],[Date]])</f>
        <v>26</v>
      </c>
      <c r="L168" t="str">
        <f>TEXT(Table1[[#This Row],[Date]],"ddd")</f>
        <v>Tue</v>
      </c>
    </row>
    <row r="169" spans="1:12" x14ac:dyDescent="0.3">
      <c r="A169" s="9">
        <v>44499</v>
      </c>
      <c r="B169" s="1" t="s">
        <v>14</v>
      </c>
      <c r="C169" s="1" t="s">
        <v>16</v>
      </c>
      <c r="D169" s="1" t="s">
        <v>17</v>
      </c>
      <c r="E169" s="1">
        <v>65000</v>
      </c>
      <c r="F169" s="1">
        <v>48</v>
      </c>
      <c r="G169" s="10">
        <v>3120000</v>
      </c>
      <c r="H169" s="1">
        <f>Table1[[#This Row],[Price]]*Table1[[#This Row],[Units]]</f>
        <v>3120000</v>
      </c>
      <c r="I169" s="1">
        <f>YEAR(Table1[[#This Row],[Date]])</f>
        <v>2021</v>
      </c>
      <c r="J169" t="str">
        <f>TEXT(Table1[[#This Row],[Date]],"MMM")</f>
        <v>Oct</v>
      </c>
      <c r="K169">
        <f>DAY(Table1[[#This Row],[Date]])</f>
        <v>30</v>
      </c>
      <c r="L169" t="str">
        <f>TEXT(Table1[[#This Row],[Date]],"ddd")</f>
        <v>Sat</v>
      </c>
    </row>
    <row r="170" spans="1:12" x14ac:dyDescent="0.3">
      <c r="A170" s="9">
        <v>44503</v>
      </c>
      <c r="B170" s="1" t="s">
        <v>11</v>
      </c>
      <c r="C170" s="1" t="s">
        <v>16</v>
      </c>
      <c r="D170" s="1" t="s">
        <v>23</v>
      </c>
      <c r="E170" s="1">
        <v>12000</v>
      </c>
      <c r="F170" s="1">
        <v>22</v>
      </c>
      <c r="G170" s="10">
        <v>264000</v>
      </c>
      <c r="H170" s="1">
        <f>Table1[[#This Row],[Price]]*Table1[[#This Row],[Units]]</f>
        <v>264000</v>
      </c>
      <c r="I170" s="1">
        <f>YEAR(Table1[[#This Row],[Date]])</f>
        <v>2021</v>
      </c>
      <c r="J170" t="str">
        <f>TEXT(Table1[[#This Row],[Date]],"MMM")</f>
        <v>Nov</v>
      </c>
      <c r="K170">
        <f>DAY(Table1[[#This Row],[Date]])</f>
        <v>3</v>
      </c>
      <c r="L170" t="str">
        <f>TEXT(Table1[[#This Row],[Date]],"ddd")</f>
        <v>Wed</v>
      </c>
    </row>
    <row r="171" spans="1:12" x14ac:dyDescent="0.3">
      <c r="A171" s="9">
        <v>44507</v>
      </c>
      <c r="B171" s="1" t="s">
        <v>22</v>
      </c>
      <c r="C171" s="1" t="s">
        <v>21</v>
      </c>
      <c r="D171" s="1" t="s">
        <v>17</v>
      </c>
      <c r="E171" s="1">
        <v>699</v>
      </c>
      <c r="F171" s="1">
        <v>6</v>
      </c>
      <c r="G171" s="10">
        <v>4194</v>
      </c>
      <c r="H171" s="1">
        <f>Table1[[#This Row],[Price]]*Table1[[#This Row],[Units]]</f>
        <v>4194</v>
      </c>
      <c r="I171" s="1">
        <f>YEAR(Table1[[#This Row],[Date]])</f>
        <v>2021</v>
      </c>
      <c r="J171" t="str">
        <f>TEXT(Table1[[#This Row],[Date]],"MMM")</f>
        <v>Nov</v>
      </c>
      <c r="K171">
        <f>DAY(Table1[[#This Row],[Date]])</f>
        <v>7</v>
      </c>
      <c r="L171" t="str">
        <f>TEXT(Table1[[#This Row],[Date]],"ddd")</f>
        <v>Sun</v>
      </c>
    </row>
    <row r="172" spans="1:12" x14ac:dyDescent="0.3">
      <c r="A172" s="9">
        <v>44511</v>
      </c>
      <c r="B172" s="1" t="s">
        <v>22</v>
      </c>
      <c r="C172" s="1" t="s">
        <v>15</v>
      </c>
      <c r="D172" s="1" t="s">
        <v>13</v>
      </c>
      <c r="E172" s="1">
        <v>990</v>
      </c>
      <c r="F172" s="1">
        <v>12</v>
      </c>
      <c r="G172" s="10">
        <v>11880</v>
      </c>
      <c r="H172" s="1">
        <f>Table1[[#This Row],[Price]]*Table1[[#This Row],[Units]]</f>
        <v>11880</v>
      </c>
      <c r="I172" s="1">
        <f>YEAR(Table1[[#This Row],[Date]])</f>
        <v>2021</v>
      </c>
      <c r="J172" t="str">
        <f>TEXT(Table1[[#This Row],[Date]],"MMM")</f>
        <v>Nov</v>
      </c>
      <c r="K172">
        <f>DAY(Table1[[#This Row],[Date]])</f>
        <v>11</v>
      </c>
      <c r="L172" t="str">
        <f>TEXT(Table1[[#This Row],[Date]],"ddd")</f>
        <v>Thu</v>
      </c>
    </row>
    <row r="173" spans="1:12" x14ac:dyDescent="0.3">
      <c r="A173" s="9">
        <v>44515</v>
      </c>
      <c r="B173" s="1" t="s">
        <v>22</v>
      </c>
      <c r="C173" s="1" t="s">
        <v>21</v>
      </c>
      <c r="D173" s="1" t="s">
        <v>8</v>
      </c>
      <c r="E173" s="1">
        <v>450</v>
      </c>
      <c r="F173" s="1">
        <v>44</v>
      </c>
      <c r="G173" s="10">
        <v>19800</v>
      </c>
      <c r="H173" s="1">
        <f>Table1[[#This Row],[Price]]*Table1[[#This Row],[Units]]</f>
        <v>19800</v>
      </c>
      <c r="I173" s="1">
        <f>YEAR(Table1[[#This Row],[Date]])</f>
        <v>2021</v>
      </c>
      <c r="J173" t="str">
        <f>TEXT(Table1[[#This Row],[Date]],"MMM")</f>
        <v>Nov</v>
      </c>
      <c r="K173">
        <f>DAY(Table1[[#This Row],[Date]])</f>
        <v>15</v>
      </c>
      <c r="L173" t="str">
        <f>TEXT(Table1[[#This Row],[Date]],"ddd")</f>
        <v>Mon</v>
      </c>
    </row>
    <row r="174" spans="1:12" x14ac:dyDescent="0.3">
      <c r="A174" s="9">
        <v>44519</v>
      </c>
      <c r="B174" s="1" t="s">
        <v>22</v>
      </c>
      <c r="C174" s="1" t="s">
        <v>15</v>
      </c>
      <c r="D174" s="1" t="s">
        <v>8</v>
      </c>
      <c r="E174" s="1">
        <v>1499</v>
      </c>
      <c r="F174" s="1">
        <v>15</v>
      </c>
      <c r="G174" s="10">
        <v>22485</v>
      </c>
      <c r="H174" s="1">
        <f>Table1[[#This Row],[Price]]*Table1[[#This Row],[Units]]</f>
        <v>22485</v>
      </c>
      <c r="I174" s="1">
        <f>YEAR(Table1[[#This Row],[Date]])</f>
        <v>2021</v>
      </c>
      <c r="J174" t="str">
        <f>TEXT(Table1[[#This Row],[Date]],"MMM")</f>
        <v>Nov</v>
      </c>
      <c r="K174">
        <f>DAY(Table1[[#This Row],[Date]])</f>
        <v>19</v>
      </c>
      <c r="L174" t="str">
        <f>TEXT(Table1[[#This Row],[Date]],"ddd")</f>
        <v>Fri</v>
      </c>
    </row>
    <row r="175" spans="1:12" x14ac:dyDescent="0.3">
      <c r="A175" s="9">
        <v>44523</v>
      </c>
      <c r="B175" s="1" t="s">
        <v>6</v>
      </c>
      <c r="C175" s="1" t="s">
        <v>7</v>
      </c>
      <c r="D175" s="1" t="s">
        <v>20</v>
      </c>
      <c r="E175" s="1">
        <v>499</v>
      </c>
      <c r="F175" s="1">
        <v>26</v>
      </c>
      <c r="G175" s="10">
        <v>12974</v>
      </c>
      <c r="H175" s="1">
        <f>Table1[[#This Row],[Price]]*Table1[[#This Row],[Units]]</f>
        <v>12974</v>
      </c>
      <c r="I175" s="1">
        <f>YEAR(Table1[[#This Row],[Date]])</f>
        <v>2021</v>
      </c>
      <c r="J175" t="str">
        <f>TEXT(Table1[[#This Row],[Date]],"MMM")</f>
        <v>Nov</v>
      </c>
      <c r="K175">
        <f>DAY(Table1[[#This Row],[Date]])</f>
        <v>23</v>
      </c>
      <c r="L175" t="str">
        <f>TEXT(Table1[[#This Row],[Date]],"ddd")</f>
        <v>Tue</v>
      </c>
    </row>
    <row r="176" spans="1:12" x14ac:dyDescent="0.3">
      <c r="A176" s="9">
        <v>44527</v>
      </c>
      <c r="B176" s="1" t="s">
        <v>18</v>
      </c>
      <c r="C176" s="1" t="s">
        <v>12</v>
      </c>
      <c r="D176" s="1" t="s">
        <v>20</v>
      </c>
      <c r="E176" s="1">
        <v>960</v>
      </c>
      <c r="F176" s="1">
        <v>16</v>
      </c>
      <c r="G176" s="10">
        <v>15360</v>
      </c>
      <c r="H176" s="1">
        <f>Table1[[#This Row],[Price]]*Table1[[#This Row],[Units]]</f>
        <v>15360</v>
      </c>
      <c r="I176" s="1">
        <f>YEAR(Table1[[#This Row],[Date]])</f>
        <v>2021</v>
      </c>
      <c r="J176" t="str">
        <f>TEXT(Table1[[#This Row],[Date]],"MMM")</f>
        <v>Nov</v>
      </c>
      <c r="K176">
        <f>DAY(Table1[[#This Row],[Date]])</f>
        <v>27</v>
      </c>
      <c r="L176" t="str">
        <f>TEXT(Table1[[#This Row],[Date]],"ddd")</f>
        <v>Sat</v>
      </c>
    </row>
    <row r="177" spans="1:12" x14ac:dyDescent="0.3">
      <c r="A177" s="9">
        <v>44531</v>
      </c>
      <c r="B177" s="1" t="s">
        <v>11</v>
      </c>
      <c r="C177" s="1" t="s">
        <v>15</v>
      </c>
      <c r="D177" s="1" t="s">
        <v>17</v>
      </c>
      <c r="E177" s="1">
        <v>5599</v>
      </c>
      <c r="F177" s="1">
        <v>35</v>
      </c>
      <c r="G177" s="10">
        <v>195965</v>
      </c>
      <c r="H177" s="1">
        <f>Table1[[#This Row],[Price]]*Table1[[#This Row],[Units]]</f>
        <v>195965</v>
      </c>
      <c r="I177" s="1">
        <f>YEAR(Table1[[#This Row],[Date]])</f>
        <v>2021</v>
      </c>
      <c r="J177" t="str">
        <f>TEXT(Table1[[#This Row],[Date]],"MMM")</f>
        <v>Dec</v>
      </c>
      <c r="K177">
        <f>DAY(Table1[[#This Row],[Date]])</f>
        <v>1</v>
      </c>
      <c r="L177" t="str">
        <f>TEXT(Table1[[#This Row],[Date]],"ddd")</f>
        <v>Wed</v>
      </c>
    </row>
    <row r="178" spans="1:12" x14ac:dyDescent="0.3">
      <c r="A178" s="9">
        <v>44535</v>
      </c>
      <c r="B178" s="1" t="s">
        <v>14</v>
      </c>
      <c r="C178" s="1" t="s">
        <v>16</v>
      </c>
      <c r="D178" s="1" t="s">
        <v>8</v>
      </c>
      <c r="E178" s="1">
        <v>89</v>
      </c>
      <c r="F178" s="1">
        <v>36</v>
      </c>
      <c r="G178" s="10">
        <v>3204</v>
      </c>
      <c r="H178" s="1">
        <f>Table1[[#This Row],[Price]]*Table1[[#This Row],[Units]]</f>
        <v>3204</v>
      </c>
      <c r="I178" s="1">
        <f>YEAR(Table1[[#This Row],[Date]])</f>
        <v>2021</v>
      </c>
      <c r="J178" t="str">
        <f>TEXT(Table1[[#This Row],[Date]],"MMM")</f>
        <v>Dec</v>
      </c>
      <c r="K178">
        <f>DAY(Table1[[#This Row],[Date]])</f>
        <v>5</v>
      </c>
      <c r="L178" t="str">
        <f>TEXT(Table1[[#This Row],[Date]],"ddd")</f>
        <v>Sun</v>
      </c>
    </row>
    <row r="179" spans="1:12" x14ac:dyDescent="0.3">
      <c r="A179" s="9">
        <v>44539</v>
      </c>
      <c r="B179" s="1" t="s">
        <v>6</v>
      </c>
      <c r="C179" s="1" t="s">
        <v>7</v>
      </c>
      <c r="D179" s="1" t="s">
        <v>13</v>
      </c>
      <c r="E179" s="1">
        <v>2550</v>
      </c>
      <c r="F179" s="1">
        <v>20</v>
      </c>
      <c r="G179" s="10">
        <v>51000</v>
      </c>
      <c r="H179" s="1">
        <f>Table1[[#This Row],[Price]]*Table1[[#This Row],[Units]]</f>
        <v>51000</v>
      </c>
      <c r="I179" s="1">
        <f>YEAR(Table1[[#This Row],[Date]])</f>
        <v>2021</v>
      </c>
      <c r="J179" t="str">
        <f>TEXT(Table1[[#This Row],[Date]],"MMM")</f>
        <v>Dec</v>
      </c>
      <c r="K179">
        <f>DAY(Table1[[#This Row],[Date]])</f>
        <v>9</v>
      </c>
      <c r="L179" t="str">
        <f>TEXT(Table1[[#This Row],[Date]],"ddd")</f>
        <v>Thu</v>
      </c>
    </row>
    <row r="180" spans="1:12" x14ac:dyDescent="0.3">
      <c r="A180" s="9">
        <v>44543</v>
      </c>
      <c r="B180" s="1" t="s">
        <v>6</v>
      </c>
      <c r="C180" s="1" t="s">
        <v>7</v>
      </c>
      <c r="D180" s="1" t="s">
        <v>8</v>
      </c>
      <c r="E180" s="1">
        <v>1450</v>
      </c>
      <c r="F180" s="1">
        <v>47</v>
      </c>
      <c r="G180" s="10">
        <v>68150</v>
      </c>
      <c r="H180" s="1">
        <f>Table1[[#This Row],[Price]]*Table1[[#This Row],[Units]]</f>
        <v>68150</v>
      </c>
      <c r="I180" s="1">
        <f>YEAR(Table1[[#This Row],[Date]])</f>
        <v>2021</v>
      </c>
      <c r="J180" t="str">
        <f>TEXT(Table1[[#This Row],[Date]],"MMM")</f>
        <v>Dec</v>
      </c>
      <c r="K180">
        <f>DAY(Table1[[#This Row],[Date]])</f>
        <v>13</v>
      </c>
      <c r="L180" t="str">
        <f>TEXT(Table1[[#This Row],[Date]],"ddd")</f>
        <v>Mon</v>
      </c>
    </row>
    <row r="181" spans="1:12" x14ac:dyDescent="0.3">
      <c r="A181" s="9">
        <v>44547</v>
      </c>
      <c r="B181" s="1" t="s">
        <v>22</v>
      </c>
      <c r="C181" s="1" t="s">
        <v>21</v>
      </c>
      <c r="D181" s="1" t="s">
        <v>17</v>
      </c>
      <c r="E181" s="1">
        <v>2900</v>
      </c>
      <c r="F181" s="1">
        <v>6</v>
      </c>
      <c r="G181" s="10">
        <v>17400</v>
      </c>
      <c r="H181" s="1">
        <f>Table1[[#This Row],[Price]]*Table1[[#This Row],[Units]]</f>
        <v>17400</v>
      </c>
      <c r="I181" s="1">
        <f>YEAR(Table1[[#This Row],[Date]])</f>
        <v>2021</v>
      </c>
      <c r="J181" t="str">
        <f>TEXT(Table1[[#This Row],[Date]],"MMM")</f>
        <v>Dec</v>
      </c>
      <c r="K181">
        <f>DAY(Table1[[#This Row],[Date]])</f>
        <v>17</v>
      </c>
      <c r="L181" t="str">
        <f>TEXT(Table1[[#This Row],[Date]],"ddd")</f>
        <v>Fri</v>
      </c>
    </row>
    <row r="182" spans="1:12" x14ac:dyDescent="0.3">
      <c r="A182" s="9">
        <v>44551</v>
      </c>
      <c r="B182" s="1" t="s">
        <v>14</v>
      </c>
      <c r="C182" s="1" t="s">
        <v>16</v>
      </c>
      <c r="D182" s="1" t="s">
        <v>20</v>
      </c>
      <c r="E182" s="1">
        <v>120</v>
      </c>
      <c r="F182" s="1">
        <v>6</v>
      </c>
      <c r="G182" s="10">
        <v>720</v>
      </c>
      <c r="H182" s="1">
        <f>Table1[[#This Row],[Price]]*Table1[[#This Row],[Units]]</f>
        <v>720</v>
      </c>
      <c r="I182" s="1">
        <f>YEAR(Table1[[#This Row],[Date]])</f>
        <v>2021</v>
      </c>
      <c r="J182" t="str">
        <f>TEXT(Table1[[#This Row],[Date]],"MMM")</f>
        <v>Dec</v>
      </c>
      <c r="K182">
        <f>DAY(Table1[[#This Row],[Date]])</f>
        <v>21</v>
      </c>
      <c r="L182" t="str">
        <f>TEXT(Table1[[#This Row],[Date]],"ddd")</f>
        <v>Tue</v>
      </c>
    </row>
    <row r="183" spans="1:12" x14ac:dyDescent="0.3">
      <c r="A183" s="9">
        <v>44555</v>
      </c>
      <c r="B183" s="1" t="s">
        <v>18</v>
      </c>
      <c r="C183" s="1" t="s">
        <v>19</v>
      </c>
      <c r="D183" s="1" t="s">
        <v>20</v>
      </c>
      <c r="E183" s="1">
        <v>52000</v>
      </c>
      <c r="F183" s="1">
        <v>41</v>
      </c>
      <c r="G183" s="10">
        <v>2132000</v>
      </c>
      <c r="H183" s="1">
        <f>Table1[[#This Row],[Price]]*Table1[[#This Row],[Units]]</f>
        <v>2132000</v>
      </c>
      <c r="I183" s="1">
        <f>YEAR(Table1[[#This Row],[Date]])</f>
        <v>2021</v>
      </c>
      <c r="J183" t="str">
        <f>TEXT(Table1[[#This Row],[Date]],"MMM")</f>
        <v>Dec</v>
      </c>
      <c r="K183">
        <f>DAY(Table1[[#This Row],[Date]])</f>
        <v>25</v>
      </c>
      <c r="L183" t="str">
        <f>TEXT(Table1[[#This Row],[Date]],"ddd")</f>
        <v>Sat</v>
      </c>
    </row>
    <row r="184" spans="1:12" x14ac:dyDescent="0.3">
      <c r="A184" s="9">
        <v>44559</v>
      </c>
      <c r="B184" s="1" t="s">
        <v>22</v>
      </c>
      <c r="C184" s="1" t="s">
        <v>21</v>
      </c>
      <c r="D184" s="1" t="s">
        <v>13</v>
      </c>
      <c r="E184" s="1">
        <v>590</v>
      </c>
      <c r="F184" s="1">
        <v>29</v>
      </c>
      <c r="G184" s="10">
        <v>17110</v>
      </c>
      <c r="H184" s="1">
        <f>Table1[[#This Row],[Price]]*Table1[[#This Row],[Units]]</f>
        <v>17110</v>
      </c>
      <c r="I184" s="1">
        <f>YEAR(Table1[[#This Row],[Date]])</f>
        <v>2021</v>
      </c>
      <c r="J184" t="str">
        <f>TEXT(Table1[[#This Row],[Date]],"MMM")</f>
        <v>Dec</v>
      </c>
      <c r="K184">
        <f>DAY(Table1[[#This Row],[Date]])</f>
        <v>29</v>
      </c>
      <c r="L184" t="str">
        <f>TEXT(Table1[[#This Row],[Date]],"ddd")</f>
        <v>Wed</v>
      </c>
    </row>
    <row r="185" spans="1:12" x14ac:dyDescent="0.3">
      <c r="A185" s="9">
        <v>44563</v>
      </c>
      <c r="B185" s="1" t="s">
        <v>18</v>
      </c>
      <c r="C185" s="1" t="s">
        <v>15</v>
      </c>
      <c r="D185" s="1" t="s">
        <v>23</v>
      </c>
      <c r="E185" s="1">
        <v>7999</v>
      </c>
      <c r="F185" s="1">
        <v>31</v>
      </c>
      <c r="G185" s="10">
        <v>247969</v>
      </c>
      <c r="H185" s="1">
        <f>Table1[[#This Row],[Price]]*Table1[[#This Row],[Units]]</f>
        <v>247969</v>
      </c>
      <c r="I185" s="1">
        <f>YEAR(Table1[[#This Row],[Date]])</f>
        <v>2022</v>
      </c>
      <c r="J185" t="str">
        <f>TEXT(Table1[[#This Row],[Date]],"MMM")</f>
        <v>Jan</v>
      </c>
      <c r="K185">
        <f>DAY(Table1[[#This Row],[Date]])</f>
        <v>2</v>
      </c>
      <c r="L185" t="str">
        <f>TEXT(Table1[[#This Row],[Date]],"ddd")</f>
        <v>Sun</v>
      </c>
    </row>
    <row r="186" spans="1:12" x14ac:dyDescent="0.3">
      <c r="A186" s="9">
        <v>44567</v>
      </c>
      <c r="B186" s="1" t="s">
        <v>9</v>
      </c>
      <c r="C186" s="1" t="s">
        <v>16</v>
      </c>
      <c r="D186" s="1" t="s">
        <v>13</v>
      </c>
      <c r="E186" s="1">
        <v>999</v>
      </c>
      <c r="F186" s="1">
        <v>34</v>
      </c>
      <c r="G186" s="10">
        <v>33966</v>
      </c>
      <c r="H186" s="1">
        <f>Table1[[#This Row],[Price]]*Table1[[#This Row],[Units]]</f>
        <v>33966</v>
      </c>
      <c r="I186" s="1">
        <f>YEAR(Table1[[#This Row],[Date]])</f>
        <v>2022</v>
      </c>
      <c r="J186" t="str">
        <f>TEXT(Table1[[#This Row],[Date]],"MMM")</f>
        <v>Jan</v>
      </c>
      <c r="K186">
        <f>DAY(Table1[[#This Row],[Date]])</f>
        <v>6</v>
      </c>
      <c r="L186" t="str">
        <f>TEXT(Table1[[#This Row],[Date]],"ddd")</f>
        <v>Thu</v>
      </c>
    </row>
    <row r="187" spans="1:12" x14ac:dyDescent="0.3">
      <c r="A187" s="9">
        <v>44571</v>
      </c>
      <c r="B187" s="1" t="s">
        <v>11</v>
      </c>
      <c r="C187" s="1" t="s">
        <v>21</v>
      </c>
      <c r="D187" s="1" t="s">
        <v>8</v>
      </c>
      <c r="E187" s="1">
        <v>990</v>
      </c>
      <c r="F187" s="1">
        <v>43</v>
      </c>
      <c r="G187" s="10">
        <v>42570</v>
      </c>
      <c r="H187" s="1">
        <f>Table1[[#This Row],[Price]]*Table1[[#This Row],[Units]]</f>
        <v>42570</v>
      </c>
      <c r="I187" s="1">
        <f>YEAR(Table1[[#This Row],[Date]])</f>
        <v>2022</v>
      </c>
      <c r="J187" t="str">
        <f>TEXT(Table1[[#This Row],[Date]],"MMM")</f>
        <v>Jan</v>
      </c>
      <c r="K187">
        <f>DAY(Table1[[#This Row],[Date]])</f>
        <v>10</v>
      </c>
      <c r="L187" t="str">
        <f>TEXT(Table1[[#This Row],[Date]],"ddd")</f>
        <v>Mon</v>
      </c>
    </row>
    <row r="188" spans="1:12" x14ac:dyDescent="0.3">
      <c r="A188" s="9">
        <v>44575</v>
      </c>
      <c r="B188" s="1" t="s">
        <v>18</v>
      </c>
      <c r="C188" s="1" t="s">
        <v>19</v>
      </c>
      <c r="D188" s="1" t="s">
        <v>8</v>
      </c>
      <c r="E188" s="1">
        <v>11999</v>
      </c>
      <c r="F188" s="1">
        <v>37</v>
      </c>
      <c r="G188" s="10">
        <v>443963</v>
      </c>
      <c r="H188" s="1">
        <f>Table1[[#This Row],[Price]]*Table1[[#This Row],[Units]]</f>
        <v>443963</v>
      </c>
      <c r="I188" s="1">
        <f>YEAR(Table1[[#This Row],[Date]])</f>
        <v>2022</v>
      </c>
      <c r="J188" t="str">
        <f>TEXT(Table1[[#This Row],[Date]],"MMM")</f>
        <v>Jan</v>
      </c>
      <c r="K188">
        <f>DAY(Table1[[#This Row],[Date]])</f>
        <v>14</v>
      </c>
      <c r="L188" t="str">
        <f>TEXT(Table1[[#This Row],[Date]],"ddd")</f>
        <v>Fri</v>
      </c>
    </row>
    <row r="189" spans="1:12" x14ac:dyDescent="0.3">
      <c r="A189" s="9">
        <v>44579</v>
      </c>
      <c r="B189" s="1" t="s">
        <v>18</v>
      </c>
      <c r="C189" s="1" t="s">
        <v>12</v>
      </c>
      <c r="D189" s="1" t="s">
        <v>8</v>
      </c>
      <c r="E189" s="1">
        <v>960</v>
      </c>
      <c r="F189" s="1">
        <v>7</v>
      </c>
      <c r="G189" s="10">
        <v>6720</v>
      </c>
      <c r="H189" s="1">
        <f>Table1[[#This Row],[Price]]*Table1[[#This Row],[Units]]</f>
        <v>6720</v>
      </c>
      <c r="I189" s="1">
        <f>YEAR(Table1[[#This Row],[Date]])</f>
        <v>2022</v>
      </c>
      <c r="J189" t="str">
        <f>TEXT(Table1[[#This Row],[Date]],"MMM")</f>
        <v>Jan</v>
      </c>
      <c r="K189">
        <f>DAY(Table1[[#This Row],[Date]])</f>
        <v>18</v>
      </c>
      <c r="L189" t="str">
        <f>TEXT(Table1[[#This Row],[Date]],"ddd")</f>
        <v>Tue</v>
      </c>
    </row>
    <row r="190" spans="1:12" x14ac:dyDescent="0.3">
      <c r="A190" s="9">
        <v>44583</v>
      </c>
      <c r="B190" s="1" t="s">
        <v>6</v>
      </c>
      <c r="C190" s="1" t="s">
        <v>7</v>
      </c>
      <c r="D190" s="1" t="s">
        <v>13</v>
      </c>
      <c r="E190" s="1">
        <v>1450</v>
      </c>
      <c r="F190" s="1">
        <v>19</v>
      </c>
      <c r="G190" s="10">
        <v>27550</v>
      </c>
      <c r="H190" s="1">
        <f>Table1[[#This Row],[Price]]*Table1[[#This Row],[Units]]</f>
        <v>27550</v>
      </c>
      <c r="I190" s="1">
        <f>YEAR(Table1[[#This Row],[Date]])</f>
        <v>2022</v>
      </c>
      <c r="J190" t="str">
        <f>TEXT(Table1[[#This Row],[Date]],"MMM")</f>
        <v>Jan</v>
      </c>
      <c r="K190">
        <f>DAY(Table1[[#This Row],[Date]])</f>
        <v>22</v>
      </c>
      <c r="L190" t="str">
        <f>TEXT(Table1[[#This Row],[Date]],"ddd")</f>
        <v>Sat</v>
      </c>
    </row>
    <row r="191" spans="1:12" x14ac:dyDescent="0.3">
      <c r="A191" s="9">
        <v>44587</v>
      </c>
      <c r="B191" s="1" t="s">
        <v>22</v>
      </c>
      <c r="C191" s="1" t="s">
        <v>21</v>
      </c>
      <c r="D191" s="1" t="s">
        <v>10</v>
      </c>
      <c r="E191" s="1">
        <v>450</v>
      </c>
      <c r="F191" s="1">
        <v>47</v>
      </c>
      <c r="G191" s="10">
        <v>21150</v>
      </c>
      <c r="H191" s="1">
        <f>Table1[[#This Row],[Price]]*Table1[[#This Row],[Units]]</f>
        <v>21150</v>
      </c>
      <c r="I191" s="1">
        <f>YEAR(Table1[[#This Row],[Date]])</f>
        <v>2022</v>
      </c>
      <c r="J191" t="str">
        <f>TEXT(Table1[[#This Row],[Date]],"MMM")</f>
        <v>Jan</v>
      </c>
      <c r="K191">
        <f>DAY(Table1[[#This Row],[Date]])</f>
        <v>26</v>
      </c>
      <c r="L191" t="str">
        <f>TEXT(Table1[[#This Row],[Date]],"ddd")</f>
        <v>Wed</v>
      </c>
    </row>
    <row r="192" spans="1:12" x14ac:dyDescent="0.3">
      <c r="A192" s="9">
        <v>44591</v>
      </c>
      <c r="B192" s="1" t="s">
        <v>9</v>
      </c>
      <c r="C192" s="1" t="s">
        <v>21</v>
      </c>
      <c r="D192" s="1" t="s">
        <v>13</v>
      </c>
      <c r="E192" s="1">
        <v>1499</v>
      </c>
      <c r="F192" s="1">
        <v>37</v>
      </c>
      <c r="G192" s="10">
        <v>55463</v>
      </c>
      <c r="H192" s="1">
        <f>Table1[[#This Row],[Price]]*Table1[[#This Row],[Units]]</f>
        <v>55463</v>
      </c>
      <c r="I192" s="1">
        <f>YEAR(Table1[[#This Row],[Date]])</f>
        <v>2022</v>
      </c>
      <c r="J192" t="str">
        <f>TEXT(Table1[[#This Row],[Date]],"MMM")</f>
        <v>Jan</v>
      </c>
      <c r="K192">
        <f>DAY(Table1[[#This Row],[Date]])</f>
        <v>30</v>
      </c>
      <c r="L192" t="str">
        <f>TEXT(Table1[[#This Row],[Date]],"ddd")</f>
        <v>Sun</v>
      </c>
    </row>
    <row r="193" spans="1:12" x14ac:dyDescent="0.3">
      <c r="A193" s="9">
        <v>44595</v>
      </c>
      <c r="B193" s="1" t="s">
        <v>11</v>
      </c>
      <c r="C193" s="1" t="s">
        <v>19</v>
      </c>
      <c r="D193" s="1" t="s">
        <v>10</v>
      </c>
      <c r="E193" s="1">
        <v>79999</v>
      </c>
      <c r="F193" s="1">
        <v>4</v>
      </c>
      <c r="G193" s="10">
        <v>319996</v>
      </c>
      <c r="H193" s="1">
        <f>Table1[[#This Row],[Price]]*Table1[[#This Row],[Units]]</f>
        <v>319996</v>
      </c>
      <c r="I193" s="1">
        <f>YEAR(Table1[[#This Row],[Date]])</f>
        <v>2022</v>
      </c>
      <c r="J193" t="str">
        <f>TEXT(Table1[[#This Row],[Date]],"MMM")</f>
        <v>Feb</v>
      </c>
      <c r="K193">
        <f>DAY(Table1[[#This Row],[Date]])</f>
        <v>3</v>
      </c>
      <c r="L193" t="str">
        <f>TEXT(Table1[[#This Row],[Date]],"ddd")</f>
        <v>Thu</v>
      </c>
    </row>
    <row r="194" spans="1:12" x14ac:dyDescent="0.3">
      <c r="A194" s="9">
        <v>44599</v>
      </c>
      <c r="B194" s="1" t="s">
        <v>11</v>
      </c>
      <c r="C194" s="1" t="s">
        <v>16</v>
      </c>
      <c r="D194" s="1" t="s">
        <v>20</v>
      </c>
      <c r="E194" s="1">
        <v>999</v>
      </c>
      <c r="F194" s="1">
        <v>45</v>
      </c>
      <c r="G194" s="10">
        <v>44955</v>
      </c>
      <c r="H194" s="1">
        <f>Table1[[#This Row],[Price]]*Table1[[#This Row],[Units]]</f>
        <v>44955</v>
      </c>
      <c r="I194" s="1">
        <f>YEAR(Table1[[#This Row],[Date]])</f>
        <v>2022</v>
      </c>
      <c r="J194" t="str">
        <f>TEXT(Table1[[#This Row],[Date]],"MMM")</f>
        <v>Feb</v>
      </c>
      <c r="K194">
        <f>DAY(Table1[[#This Row],[Date]])</f>
        <v>7</v>
      </c>
      <c r="L194" t="str">
        <f>TEXT(Table1[[#This Row],[Date]],"ddd")</f>
        <v>Mon</v>
      </c>
    </row>
    <row r="195" spans="1:12" x14ac:dyDescent="0.3">
      <c r="A195" s="9">
        <v>44603</v>
      </c>
      <c r="B195" s="1" t="s">
        <v>18</v>
      </c>
      <c r="C195" s="1" t="s">
        <v>19</v>
      </c>
      <c r="D195" s="1" t="s">
        <v>8</v>
      </c>
      <c r="E195" s="1">
        <v>52000</v>
      </c>
      <c r="F195" s="1">
        <v>15</v>
      </c>
      <c r="G195" s="10">
        <v>780000</v>
      </c>
      <c r="H195" s="1">
        <f>Table1[[#This Row],[Price]]*Table1[[#This Row],[Units]]</f>
        <v>780000</v>
      </c>
      <c r="I195" s="1">
        <f>YEAR(Table1[[#This Row],[Date]])</f>
        <v>2022</v>
      </c>
      <c r="J195" t="str">
        <f>TEXT(Table1[[#This Row],[Date]],"MMM")</f>
        <v>Feb</v>
      </c>
      <c r="K195">
        <f>DAY(Table1[[#This Row],[Date]])</f>
        <v>11</v>
      </c>
      <c r="L195" t="str">
        <f>TEXT(Table1[[#This Row],[Date]],"ddd")</f>
        <v>Fri</v>
      </c>
    </row>
    <row r="196" spans="1:12" x14ac:dyDescent="0.3">
      <c r="A196" s="9">
        <v>44607</v>
      </c>
      <c r="B196" s="1" t="s">
        <v>18</v>
      </c>
      <c r="C196" s="1" t="s">
        <v>19</v>
      </c>
      <c r="D196" s="1" t="s">
        <v>17</v>
      </c>
      <c r="E196" s="1">
        <v>52000</v>
      </c>
      <c r="F196" s="1">
        <v>39</v>
      </c>
      <c r="G196" s="10">
        <v>2028000</v>
      </c>
      <c r="H196" s="1">
        <f>Table1[[#This Row],[Price]]*Table1[[#This Row],[Units]]</f>
        <v>2028000</v>
      </c>
      <c r="I196" s="1">
        <f>YEAR(Table1[[#This Row],[Date]])</f>
        <v>2022</v>
      </c>
      <c r="J196" t="str">
        <f>TEXT(Table1[[#This Row],[Date]],"MMM")</f>
        <v>Feb</v>
      </c>
      <c r="K196">
        <f>DAY(Table1[[#This Row],[Date]])</f>
        <v>15</v>
      </c>
      <c r="L196" t="str">
        <f>TEXT(Table1[[#This Row],[Date]],"ddd")</f>
        <v>Tue</v>
      </c>
    </row>
    <row r="197" spans="1:12" x14ac:dyDescent="0.3">
      <c r="A197" s="9">
        <v>44611</v>
      </c>
      <c r="B197" s="1" t="s">
        <v>18</v>
      </c>
      <c r="C197" s="1" t="s">
        <v>12</v>
      </c>
      <c r="D197" s="1" t="s">
        <v>13</v>
      </c>
      <c r="E197" s="1">
        <v>960</v>
      </c>
      <c r="F197" s="1">
        <v>33</v>
      </c>
      <c r="G197" s="10">
        <v>31680</v>
      </c>
      <c r="H197" s="1">
        <f>Table1[[#This Row],[Price]]*Table1[[#This Row],[Units]]</f>
        <v>31680</v>
      </c>
      <c r="I197" s="1">
        <f>YEAR(Table1[[#This Row],[Date]])</f>
        <v>2022</v>
      </c>
      <c r="J197" t="str">
        <f>TEXT(Table1[[#This Row],[Date]],"MMM")</f>
        <v>Feb</v>
      </c>
      <c r="K197">
        <f>DAY(Table1[[#This Row],[Date]])</f>
        <v>19</v>
      </c>
      <c r="L197" t="str">
        <f>TEXT(Table1[[#This Row],[Date]],"ddd")</f>
        <v>Sat</v>
      </c>
    </row>
    <row r="198" spans="1:12" x14ac:dyDescent="0.3">
      <c r="A198" s="9">
        <v>44615</v>
      </c>
      <c r="B198" s="1" t="s">
        <v>18</v>
      </c>
      <c r="C198" s="1" t="s">
        <v>12</v>
      </c>
      <c r="D198" s="1" t="s">
        <v>13</v>
      </c>
      <c r="E198" s="1">
        <v>1450</v>
      </c>
      <c r="F198" s="1">
        <v>34</v>
      </c>
      <c r="G198" s="10">
        <v>49300</v>
      </c>
      <c r="H198" s="1">
        <f>Table1[[#This Row],[Price]]*Table1[[#This Row],[Units]]</f>
        <v>49300</v>
      </c>
      <c r="I198" s="1">
        <f>YEAR(Table1[[#This Row],[Date]])</f>
        <v>2022</v>
      </c>
      <c r="J198" t="str">
        <f>TEXT(Table1[[#This Row],[Date]],"MMM")</f>
        <v>Feb</v>
      </c>
      <c r="K198">
        <f>DAY(Table1[[#This Row],[Date]])</f>
        <v>23</v>
      </c>
      <c r="L198" t="str">
        <f>TEXT(Table1[[#This Row],[Date]],"ddd")</f>
        <v>Wed</v>
      </c>
    </row>
    <row r="199" spans="1:12" x14ac:dyDescent="0.3">
      <c r="A199" s="9">
        <v>44619</v>
      </c>
      <c r="B199" s="1" t="s">
        <v>18</v>
      </c>
      <c r="C199" s="1" t="s">
        <v>15</v>
      </c>
      <c r="D199" s="1" t="s">
        <v>17</v>
      </c>
      <c r="E199" s="1">
        <v>2999</v>
      </c>
      <c r="F199" s="1">
        <v>33</v>
      </c>
      <c r="G199" s="10">
        <v>98967</v>
      </c>
      <c r="H199" s="1">
        <f>Table1[[#This Row],[Price]]*Table1[[#This Row],[Units]]</f>
        <v>98967</v>
      </c>
      <c r="I199" s="1">
        <f>YEAR(Table1[[#This Row],[Date]])</f>
        <v>2022</v>
      </c>
      <c r="J199" t="str">
        <f>TEXT(Table1[[#This Row],[Date]],"MMM")</f>
        <v>Feb</v>
      </c>
      <c r="K199">
        <f>DAY(Table1[[#This Row],[Date]])</f>
        <v>27</v>
      </c>
      <c r="L199" t="str">
        <f>TEXT(Table1[[#This Row],[Date]],"ddd")</f>
        <v>Sun</v>
      </c>
    </row>
    <row r="200" spans="1:12" x14ac:dyDescent="0.3">
      <c r="A200" s="9">
        <v>44623</v>
      </c>
      <c r="B200" s="1" t="s">
        <v>11</v>
      </c>
      <c r="C200" s="1" t="s">
        <v>12</v>
      </c>
      <c r="D200" s="1" t="s">
        <v>20</v>
      </c>
      <c r="E200" s="1">
        <v>1250</v>
      </c>
      <c r="F200" s="1">
        <v>14</v>
      </c>
      <c r="G200" s="10">
        <v>17500</v>
      </c>
      <c r="H200" s="1">
        <f>Table1[[#This Row],[Price]]*Table1[[#This Row],[Units]]</f>
        <v>17500</v>
      </c>
      <c r="I200" s="1">
        <f>YEAR(Table1[[#This Row],[Date]])</f>
        <v>2022</v>
      </c>
      <c r="J200" t="str">
        <f>TEXT(Table1[[#This Row],[Date]],"MMM")</f>
        <v>Mar</v>
      </c>
      <c r="K200">
        <f>DAY(Table1[[#This Row],[Date]])</f>
        <v>3</v>
      </c>
      <c r="L200" t="str">
        <f>TEXT(Table1[[#This Row],[Date]],"ddd")</f>
        <v>Thu</v>
      </c>
    </row>
    <row r="201" spans="1:12" x14ac:dyDescent="0.3">
      <c r="A201" s="9">
        <v>44627</v>
      </c>
      <c r="B201" s="1" t="s">
        <v>14</v>
      </c>
      <c r="C201" s="1" t="s">
        <v>16</v>
      </c>
      <c r="D201" s="1" t="s">
        <v>8</v>
      </c>
      <c r="E201" s="1">
        <v>120</v>
      </c>
      <c r="F201" s="1">
        <v>41</v>
      </c>
      <c r="G201" s="10">
        <v>4920</v>
      </c>
      <c r="H201" s="1">
        <f>Table1[[#This Row],[Price]]*Table1[[#This Row],[Units]]</f>
        <v>4920</v>
      </c>
      <c r="I201" s="1">
        <f>YEAR(Table1[[#This Row],[Date]])</f>
        <v>2022</v>
      </c>
      <c r="J201" t="str">
        <f>TEXT(Table1[[#This Row],[Date]],"MMM")</f>
        <v>Mar</v>
      </c>
      <c r="K201">
        <f>DAY(Table1[[#This Row],[Date]])</f>
        <v>7</v>
      </c>
      <c r="L201" t="str">
        <f>TEXT(Table1[[#This Row],[Date]],"ddd")</f>
        <v>Mon</v>
      </c>
    </row>
    <row r="202" spans="1:12" x14ac:dyDescent="0.3">
      <c r="A202" s="9">
        <v>44631</v>
      </c>
      <c r="B202" s="1" t="s">
        <v>9</v>
      </c>
      <c r="C202" s="1" t="s">
        <v>7</v>
      </c>
      <c r="D202" s="1" t="s">
        <v>17</v>
      </c>
      <c r="E202" s="1">
        <v>1450</v>
      </c>
      <c r="F202" s="1">
        <v>22</v>
      </c>
      <c r="G202" s="10">
        <v>31900</v>
      </c>
      <c r="H202" s="1">
        <f>Table1[[#This Row],[Price]]*Table1[[#This Row],[Units]]</f>
        <v>31900</v>
      </c>
      <c r="I202" s="1">
        <f>YEAR(Table1[[#This Row],[Date]])</f>
        <v>2022</v>
      </c>
      <c r="J202" t="str">
        <f>TEXT(Table1[[#This Row],[Date]],"MMM")</f>
        <v>Mar</v>
      </c>
      <c r="K202">
        <f>DAY(Table1[[#This Row],[Date]])</f>
        <v>11</v>
      </c>
      <c r="L202" t="str">
        <f>TEXT(Table1[[#This Row],[Date]],"ddd")</f>
        <v>Fri</v>
      </c>
    </row>
    <row r="203" spans="1:12" x14ac:dyDescent="0.3">
      <c r="A203" s="9">
        <v>44635</v>
      </c>
      <c r="B203" s="1" t="s">
        <v>9</v>
      </c>
      <c r="C203" s="1" t="s">
        <v>19</v>
      </c>
      <c r="D203" s="1" t="s">
        <v>8</v>
      </c>
      <c r="E203" s="1">
        <v>89999</v>
      </c>
      <c r="F203" s="1">
        <v>15</v>
      </c>
      <c r="G203" s="10">
        <v>1349985</v>
      </c>
      <c r="H203" s="1">
        <f>Table1[[#This Row],[Price]]*Table1[[#This Row],[Units]]</f>
        <v>1349985</v>
      </c>
      <c r="I203" s="1">
        <f>YEAR(Table1[[#This Row],[Date]])</f>
        <v>2022</v>
      </c>
      <c r="J203" t="str">
        <f>TEXT(Table1[[#This Row],[Date]],"MMM")</f>
        <v>Mar</v>
      </c>
      <c r="K203">
        <f>DAY(Table1[[#This Row],[Date]])</f>
        <v>15</v>
      </c>
      <c r="L203" t="str">
        <f>TEXT(Table1[[#This Row],[Date]],"ddd")</f>
        <v>Tue</v>
      </c>
    </row>
    <row r="204" spans="1:12" x14ac:dyDescent="0.3">
      <c r="A204" s="9">
        <v>44639</v>
      </c>
      <c r="B204" s="1" t="s">
        <v>22</v>
      </c>
      <c r="C204" s="1" t="s">
        <v>21</v>
      </c>
      <c r="D204" s="1" t="s">
        <v>13</v>
      </c>
      <c r="E204" s="1">
        <v>1999</v>
      </c>
      <c r="F204" s="1">
        <v>48</v>
      </c>
      <c r="G204" s="10">
        <v>95952</v>
      </c>
      <c r="H204" s="1">
        <f>Table1[[#This Row],[Price]]*Table1[[#This Row],[Units]]</f>
        <v>95952</v>
      </c>
      <c r="I204" s="1">
        <f>YEAR(Table1[[#This Row],[Date]])</f>
        <v>2022</v>
      </c>
      <c r="J204" t="str">
        <f>TEXT(Table1[[#This Row],[Date]],"MMM")</f>
        <v>Mar</v>
      </c>
      <c r="K204">
        <f>DAY(Table1[[#This Row],[Date]])</f>
        <v>19</v>
      </c>
      <c r="L204" t="str">
        <f>TEXT(Table1[[#This Row],[Date]],"ddd")</f>
        <v>Sat</v>
      </c>
    </row>
    <row r="205" spans="1:12" x14ac:dyDescent="0.3">
      <c r="A205" s="9">
        <v>44643</v>
      </c>
      <c r="B205" s="1" t="s">
        <v>22</v>
      </c>
      <c r="C205" s="1" t="s">
        <v>15</v>
      </c>
      <c r="D205" s="1" t="s">
        <v>17</v>
      </c>
      <c r="E205" s="1">
        <v>2900</v>
      </c>
      <c r="F205" s="1">
        <v>49</v>
      </c>
      <c r="G205" s="10">
        <v>142100</v>
      </c>
      <c r="H205" s="1">
        <f>Table1[[#This Row],[Price]]*Table1[[#This Row],[Units]]</f>
        <v>142100</v>
      </c>
      <c r="I205" s="1">
        <f>YEAR(Table1[[#This Row],[Date]])</f>
        <v>2022</v>
      </c>
      <c r="J205" t="str">
        <f>TEXT(Table1[[#This Row],[Date]],"MMM")</f>
        <v>Mar</v>
      </c>
      <c r="K205">
        <f>DAY(Table1[[#This Row],[Date]])</f>
        <v>23</v>
      </c>
      <c r="L205" t="str">
        <f>TEXT(Table1[[#This Row],[Date]],"ddd")</f>
        <v>Wed</v>
      </c>
    </row>
    <row r="206" spans="1:12" x14ac:dyDescent="0.3">
      <c r="A206" s="9">
        <v>44647</v>
      </c>
      <c r="B206" s="1" t="s">
        <v>18</v>
      </c>
      <c r="C206" s="1" t="s">
        <v>19</v>
      </c>
      <c r="D206" s="1" t="s">
        <v>20</v>
      </c>
      <c r="E206" s="1">
        <v>700</v>
      </c>
      <c r="F206" s="1">
        <v>50</v>
      </c>
      <c r="G206" s="10">
        <v>35000</v>
      </c>
      <c r="H206" s="1">
        <f>Table1[[#This Row],[Price]]*Table1[[#This Row],[Units]]</f>
        <v>35000</v>
      </c>
      <c r="I206" s="1">
        <f>YEAR(Table1[[#This Row],[Date]])</f>
        <v>2022</v>
      </c>
      <c r="J206" t="str">
        <f>TEXT(Table1[[#This Row],[Date]],"MMM")</f>
        <v>Mar</v>
      </c>
      <c r="K206">
        <f>DAY(Table1[[#This Row],[Date]])</f>
        <v>27</v>
      </c>
      <c r="L206" t="str">
        <f>TEXT(Table1[[#This Row],[Date]],"ddd")</f>
        <v>Sun</v>
      </c>
    </row>
    <row r="207" spans="1:12" x14ac:dyDescent="0.3">
      <c r="A207" s="9">
        <v>44651</v>
      </c>
      <c r="B207" s="1" t="s">
        <v>14</v>
      </c>
      <c r="C207" s="1" t="s">
        <v>16</v>
      </c>
      <c r="D207" s="1" t="s">
        <v>17</v>
      </c>
      <c r="E207" s="1">
        <v>200</v>
      </c>
      <c r="F207" s="1">
        <v>41</v>
      </c>
      <c r="G207" s="10">
        <v>8200</v>
      </c>
      <c r="H207" s="1">
        <f>Table1[[#This Row],[Price]]*Table1[[#This Row],[Units]]</f>
        <v>8200</v>
      </c>
      <c r="I207" s="1">
        <f>YEAR(Table1[[#This Row],[Date]])</f>
        <v>2022</v>
      </c>
      <c r="J207" t="str">
        <f>TEXT(Table1[[#This Row],[Date]],"MMM")</f>
        <v>Mar</v>
      </c>
      <c r="K207">
        <f>DAY(Table1[[#This Row],[Date]])</f>
        <v>31</v>
      </c>
      <c r="L207" t="str">
        <f>TEXT(Table1[[#This Row],[Date]],"ddd")</f>
        <v>Thu</v>
      </c>
    </row>
    <row r="208" spans="1:12" x14ac:dyDescent="0.3">
      <c r="A208" s="9">
        <v>44655</v>
      </c>
      <c r="B208" s="1" t="s">
        <v>6</v>
      </c>
      <c r="C208" s="1" t="s">
        <v>7</v>
      </c>
      <c r="D208" s="1" t="s">
        <v>13</v>
      </c>
      <c r="E208" s="1">
        <v>499</v>
      </c>
      <c r="F208" s="1">
        <v>29</v>
      </c>
      <c r="G208" s="10">
        <v>14471</v>
      </c>
      <c r="H208" s="1">
        <f>Table1[[#This Row],[Price]]*Table1[[#This Row],[Units]]</f>
        <v>14471</v>
      </c>
      <c r="I208" s="1">
        <f>YEAR(Table1[[#This Row],[Date]])</f>
        <v>2022</v>
      </c>
      <c r="J208" t="str">
        <f>TEXT(Table1[[#This Row],[Date]],"MMM")</f>
        <v>Apr</v>
      </c>
      <c r="K208">
        <f>DAY(Table1[[#This Row],[Date]])</f>
        <v>4</v>
      </c>
      <c r="L208" t="str">
        <f>TEXT(Table1[[#This Row],[Date]],"ddd")</f>
        <v>Mon</v>
      </c>
    </row>
    <row r="209" spans="1:12" x14ac:dyDescent="0.3">
      <c r="A209" s="9">
        <v>44659</v>
      </c>
      <c r="B209" s="1" t="s">
        <v>11</v>
      </c>
      <c r="C209" s="1" t="s">
        <v>7</v>
      </c>
      <c r="D209" s="1" t="s">
        <v>23</v>
      </c>
      <c r="E209" s="1">
        <v>5599</v>
      </c>
      <c r="F209" s="1">
        <v>36</v>
      </c>
      <c r="G209" s="10">
        <v>201564</v>
      </c>
      <c r="H209" s="1">
        <f>Table1[[#This Row],[Price]]*Table1[[#This Row],[Units]]</f>
        <v>201564</v>
      </c>
      <c r="I209" s="1">
        <f>YEAR(Table1[[#This Row],[Date]])</f>
        <v>2022</v>
      </c>
      <c r="J209" t="str">
        <f>TEXT(Table1[[#This Row],[Date]],"MMM")</f>
        <v>Apr</v>
      </c>
      <c r="K209">
        <f>DAY(Table1[[#This Row],[Date]])</f>
        <v>8</v>
      </c>
      <c r="L209" t="str">
        <f>TEXT(Table1[[#This Row],[Date]],"ddd")</f>
        <v>Fri</v>
      </c>
    </row>
    <row r="210" spans="1:12" x14ac:dyDescent="0.3">
      <c r="A210" s="9">
        <v>44663</v>
      </c>
      <c r="B210" s="1" t="s">
        <v>9</v>
      </c>
      <c r="C210" s="1" t="s">
        <v>16</v>
      </c>
      <c r="D210" s="1" t="s">
        <v>17</v>
      </c>
      <c r="E210" s="1">
        <v>100</v>
      </c>
      <c r="F210" s="1">
        <v>39</v>
      </c>
      <c r="G210" s="10">
        <v>3900</v>
      </c>
      <c r="H210" s="1">
        <f>Table1[[#This Row],[Price]]*Table1[[#This Row],[Units]]</f>
        <v>3900</v>
      </c>
      <c r="I210" s="1">
        <f>YEAR(Table1[[#This Row],[Date]])</f>
        <v>2022</v>
      </c>
      <c r="J210" t="str">
        <f>TEXT(Table1[[#This Row],[Date]],"MMM")</f>
        <v>Apr</v>
      </c>
      <c r="K210">
        <f>DAY(Table1[[#This Row],[Date]])</f>
        <v>12</v>
      </c>
      <c r="L210" t="str">
        <f>TEXT(Table1[[#This Row],[Date]],"ddd")</f>
        <v>Tue</v>
      </c>
    </row>
    <row r="211" spans="1:12" x14ac:dyDescent="0.3">
      <c r="A211" s="9">
        <v>44667</v>
      </c>
      <c r="B211" s="1" t="s">
        <v>18</v>
      </c>
      <c r="C211" s="1" t="s">
        <v>15</v>
      </c>
      <c r="D211" s="1" t="s">
        <v>17</v>
      </c>
      <c r="E211" s="1">
        <v>79999</v>
      </c>
      <c r="F211" s="1">
        <v>9</v>
      </c>
      <c r="G211" s="10">
        <v>719991</v>
      </c>
      <c r="H211" s="1">
        <f>Table1[[#This Row],[Price]]*Table1[[#This Row],[Units]]</f>
        <v>719991</v>
      </c>
      <c r="I211" s="1">
        <f>YEAR(Table1[[#This Row],[Date]])</f>
        <v>2022</v>
      </c>
      <c r="J211" t="str">
        <f>TEXT(Table1[[#This Row],[Date]],"MMM")</f>
        <v>Apr</v>
      </c>
      <c r="K211">
        <f>DAY(Table1[[#This Row],[Date]])</f>
        <v>16</v>
      </c>
      <c r="L211" t="str">
        <f>TEXT(Table1[[#This Row],[Date]],"ddd")</f>
        <v>Sat</v>
      </c>
    </row>
    <row r="212" spans="1:12" x14ac:dyDescent="0.3">
      <c r="A212" s="9">
        <v>44671</v>
      </c>
      <c r="B212" s="1" t="s">
        <v>11</v>
      </c>
      <c r="C212" s="1" t="s">
        <v>19</v>
      </c>
      <c r="D212" s="1" t="s">
        <v>13</v>
      </c>
      <c r="E212" s="1">
        <v>700</v>
      </c>
      <c r="F212" s="1">
        <v>38</v>
      </c>
      <c r="G212" s="10">
        <v>26600</v>
      </c>
      <c r="H212" s="1">
        <f>Table1[[#This Row],[Price]]*Table1[[#This Row],[Units]]</f>
        <v>26600</v>
      </c>
      <c r="I212" s="1">
        <f>YEAR(Table1[[#This Row],[Date]])</f>
        <v>2022</v>
      </c>
      <c r="J212" t="str">
        <f>TEXT(Table1[[#This Row],[Date]],"MMM")</f>
        <v>Apr</v>
      </c>
      <c r="K212">
        <f>DAY(Table1[[#This Row],[Date]])</f>
        <v>20</v>
      </c>
      <c r="L212" t="str">
        <f>TEXT(Table1[[#This Row],[Date]],"ddd")</f>
        <v>Wed</v>
      </c>
    </row>
    <row r="213" spans="1:12" x14ac:dyDescent="0.3">
      <c r="A213" s="9">
        <v>44675</v>
      </c>
      <c r="B213" s="1" t="s">
        <v>18</v>
      </c>
      <c r="C213" s="1" t="s">
        <v>12</v>
      </c>
      <c r="D213" s="1" t="s">
        <v>8</v>
      </c>
      <c r="E213" s="1">
        <v>550</v>
      </c>
      <c r="F213" s="1">
        <v>25</v>
      </c>
      <c r="G213" s="10">
        <v>13750</v>
      </c>
      <c r="H213" s="1">
        <f>Table1[[#This Row],[Price]]*Table1[[#This Row],[Units]]</f>
        <v>13750</v>
      </c>
      <c r="I213" s="1">
        <f>YEAR(Table1[[#This Row],[Date]])</f>
        <v>2022</v>
      </c>
      <c r="J213" t="str">
        <f>TEXT(Table1[[#This Row],[Date]],"MMM")</f>
        <v>Apr</v>
      </c>
      <c r="K213">
        <f>DAY(Table1[[#This Row],[Date]])</f>
        <v>24</v>
      </c>
      <c r="L213" t="str">
        <f>TEXT(Table1[[#This Row],[Date]],"ddd")</f>
        <v>Sun</v>
      </c>
    </row>
    <row r="214" spans="1:12" x14ac:dyDescent="0.3">
      <c r="A214" s="9">
        <v>44679</v>
      </c>
      <c r="B214" s="1" t="s">
        <v>22</v>
      </c>
      <c r="C214" s="1" t="s">
        <v>21</v>
      </c>
      <c r="D214" s="1" t="s">
        <v>17</v>
      </c>
      <c r="E214" s="1">
        <v>1499</v>
      </c>
      <c r="F214" s="1">
        <v>16</v>
      </c>
      <c r="G214" s="10">
        <v>23984</v>
      </c>
      <c r="H214" s="1">
        <f>Table1[[#This Row],[Price]]*Table1[[#This Row],[Units]]</f>
        <v>23984</v>
      </c>
      <c r="I214" s="1">
        <f>YEAR(Table1[[#This Row],[Date]])</f>
        <v>2022</v>
      </c>
      <c r="J214" t="str">
        <f>TEXT(Table1[[#This Row],[Date]],"MMM")</f>
        <v>Apr</v>
      </c>
      <c r="K214">
        <f>DAY(Table1[[#This Row],[Date]])</f>
        <v>28</v>
      </c>
      <c r="L214" t="str">
        <f>TEXT(Table1[[#This Row],[Date]],"ddd")</f>
        <v>Thu</v>
      </c>
    </row>
    <row r="215" spans="1:12" x14ac:dyDescent="0.3">
      <c r="A215" s="9">
        <v>44683</v>
      </c>
      <c r="B215" s="1" t="s">
        <v>14</v>
      </c>
      <c r="C215" s="1" t="s">
        <v>16</v>
      </c>
      <c r="D215" s="1" t="s">
        <v>20</v>
      </c>
      <c r="E215" s="1">
        <v>120</v>
      </c>
      <c r="F215" s="1">
        <v>22</v>
      </c>
      <c r="G215" s="10">
        <v>2640</v>
      </c>
      <c r="H215" s="1">
        <f>Table1[[#This Row],[Price]]*Table1[[#This Row],[Units]]</f>
        <v>2640</v>
      </c>
      <c r="I215" s="1">
        <f>YEAR(Table1[[#This Row],[Date]])</f>
        <v>2022</v>
      </c>
      <c r="J215" t="str">
        <f>TEXT(Table1[[#This Row],[Date]],"MMM")</f>
        <v>May</v>
      </c>
      <c r="K215">
        <f>DAY(Table1[[#This Row],[Date]])</f>
        <v>2</v>
      </c>
      <c r="L215" t="str">
        <f>TEXT(Table1[[#This Row],[Date]],"ddd")</f>
        <v>Mon</v>
      </c>
    </row>
    <row r="216" spans="1:12" x14ac:dyDescent="0.3">
      <c r="A216" s="9">
        <v>44687</v>
      </c>
      <c r="B216" s="1" t="s">
        <v>6</v>
      </c>
      <c r="C216" s="1" t="s">
        <v>7</v>
      </c>
      <c r="D216" s="1" t="s">
        <v>10</v>
      </c>
      <c r="E216" s="1">
        <v>1450</v>
      </c>
      <c r="F216" s="1">
        <v>20</v>
      </c>
      <c r="G216" s="10">
        <v>29000</v>
      </c>
      <c r="H216" s="1">
        <f>Table1[[#This Row],[Price]]*Table1[[#This Row],[Units]]</f>
        <v>29000</v>
      </c>
      <c r="I216" s="1">
        <f>YEAR(Table1[[#This Row],[Date]])</f>
        <v>2022</v>
      </c>
      <c r="J216" t="str">
        <f>TEXT(Table1[[#This Row],[Date]],"MMM")</f>
        <v>May</v>
      </c>
      <c r="K216">
        <f>DAY(Table1[[#This Row],[Date]])</f>
        <v>6</v>
      </c>
      <c r="L216" t="str">
        <f>TEXT(Table1[[#This Row],[Date]],"ddd")</f>
        <v>Fri</v>
      </c>
    </row>
    <row r="217" spans="1:12" x14ac:dyDescent="0.3">
      <c r="A217" s="9">
        <v>44691</v>
      </c>
      <c r="B217" s="1" t="s">
        <v>22</v>
      </c>
      <c r="C217" s="1" t="s">
        <v>15</v>
      </c>
      <c r="D217" s="1" t="s">
        <v>13</v>
      </c>
      <c r="E217" s="1">
        <v>1999</v>
      </c>
      <c r="F217" s="1">
        <v>23</v>
      </c>
      <c r="G217" s="10">
        <v>45977</v>
      </c>
      <c r="H217" s="1">
        <f>Table1[[#This Row],[Price]]*Table1[[#This Row],[Units]]</f>
        <v>45977</v>
      </c>
      <c r="I217" s="1">
        <f>YEAR(Table1[[#This Row],[Date]])</f>
        <v>2022</v>
      </c>
      <c r="J217" t="str">
        <f>TEXT(Table1[[#This Row],[Date]],"MMM")</f>
        <v>May</v>
      </c>
      <c r="K217">
        <f>DAY(Table1[[#This Row],[Date]])</f>
        <v>10</v>
      </c>
      <c r="L217" t="str">
        <f>TEXT(Table1[[#This Row],[Date]],"ddd")</f>
        <v>Tue</v>
      </c>
    </row>
    <row r="218" spans="1:12" x14ac:dyDescent="0.3">
      <c r="A218" s="9">
        <v>44695</v>
      </c>
      <c r="B218" s="1" t="s">
        <v>6</v>
      </c>
      <c r="C218" s="1" t="s">
        <v>7</v>
      </c>
      <c r="D218" s="1" t="s">
        <v>17</v>
      </c>
      <c r="E218" s="1">
        <v>800</v>
      </c>
      <c r="F218" s="1">
        <v>43</v>
      </c>
      <c r="G218" s="10">
        <v>34400</v>
      </c>
      <c r="H218" s="1">
        <f>Table1[[#This Row],[Price]]*Table1[[#This Row],[Units]]</f>
        <v>34400</v>
      </c>
      <c r="I218" s="1">
        <f>YEAR(Table1[[#This Row],[Date]])</f>
        <v>2022</v>
      </c>
      <c r="J218" t="str">
        <f>TEXT(Table1[[#This Row],[Date]],"MMM")</f>
        <v>May</v>
      </c>
      <c r="K218">
        <f>DAY(Table1[[#This Row],[Date]])</f>
        <v>14</v>
      </c>
      <c r="L218" t="str">
        <f>TEXT(Table1[[#This Row],[Date]],"ddd")</f>
        <v>Sat</v>
      </c>
    </row>
    <row r="219" spans="1:12" x14ac:dyDescent="0.3">
      <c r="A219" s="9">
        <v>44699</v>
      </c>
      <c r="B219" s="1" t="s">
        <v>11</v>
      </c>
      <c r="C219" s="1" t="s">
        <v>16</v>
      </c>
      <c r="D219" s="1" t="s">
        <v>20</v>
      </c>
      <c r="E219" s="1">
        <v>100</v>
      </c>
      <c r="F219" s="1">
        <v>41</v>
      </c>
      <c r="G219" s="10">
        <v>4100</v>
      </c>
      <c r="H219" s="1">
        <f>Table1[[#This Row],[Price]]*Table1[[#This Row],[Units]]</f>
        <v>4100</v>
      </c>
      <c r="I219" s="1">
        <f>YEAR(Table1[[#This Row],[Date]])</f>
        <v>2022</v>
      </c>
      <c r="J219" t="str">
        <f>TEXT(Table1[[#This Row],[Date]],"MMM")</f>
        <v>May</v>
      </c>
      <c r="K219">
        <f>DAY(Table1[[#This Row],[Date]])</f>
        <v>18</v>
      </c>
      <c r="L219" t="str">
        <f>TEXT(Table1[[#This Row],[Date]],"ddd")</f>
        <v>Wed</v>
      </c>
    </row>
    <row r="220" spans="1:12" x14ac:dyDescent="0.3">
      <c r="A220" s="9">
        <v>44703</v>
      </c>
      <c r="B220" s="1" t="s">
        <v>6</v>
      </c>
      <c r="C220" s="1" t="s">
        <v>7</v>
      </c>
      <c r="D220" s="1" t="s">
        <v>13</v>
      </c>
      <c r="E220" s="1">
        <v>13999</v>
      </c>
      <c r="F220" s="1">
        <v>37</v>
      </c>
      <c r="G220" s="10">
        <v>517963</v>
      </c>
      <c r="H220" s="1">
        <f>Table1[[#This Row],[Price]]*Table1[[#This Row],[Units]]</f>
        <v>517963</v>
      </c>
      <c r="I220" s="1">
        <f>YEAR(Table1[[#This Row],[Date]])</f>
        <v>2022</v>
      </c>
      <c r="J220" t="str">
        <f>TEXT(Table1[[#This Row],[Date]],"MMM")</f>
        <v>May</v>
      </c>
      <c r="K220">
        <f>DAY(Table1[[#This Row],[Date]])</f>
        <v>22</v>
      </c>
      <c r="L220" t="str">
        <f>TEXT(Table1[[#This Row],[Date]],"ddd")</f>
        <v>Sun</v>
      </c>
    </row>
    <row r="221" spans="1:12" x14ac:dyDescent="0.3">
      <c r="A221" s="9">
        <v>44707</v>
      </c>
      <c r="B221" s="1" t="s">
        <v>18</v>
      </c>
      <c r="C221" s="1" t="s">
        <v>19</v>
      </c>
      <c r="D221" s="1" t="s">
        <v>17</v>
      </c>
      <c r="E221" s="1">
        <v>22000</v>
      </c>
      <c r="F221" s="1">
        <v>45</v>
      </c>
      <c r="G221" s="10">
        <v>990000</v>
      </c>
      <c r="H221" s="1">
        <f>Table1[[#This Row],[Price]]*Table1[[#This Row],[Units]]</f>
        <v>990000</v>
      </c>
      <c r="I221" s="1">
        <f>YEAR(Table1[[#This Row],[Date]])</f>
        <v>2022</v>
      </c>
      <c r="J221" t="str">
        <f>TEXT(Table1[[#This Row],[Date]],"MMM")</f>
        <v>May</v>
      </c>
      <c r="K221">
        <f>DAY(Table1[[#This Row],[Date]])</f>
        <v>26</v>
      </c>
      <c r="L221" t="str">
        <f>TEXT(Table1[[#This Row],[Date]],"ddd")</f>
        <v>Thu</v>
      </c>
    </row>
    <row r="222" spans="1:12" x14ac:dyDescent="0.3">
      <c r="A222" s="9">
        <v>44711</v>
      </c>
      <c r="B222" s="1" t="s">
        <v>18</v>
      </c>
      <c r="C222" s="1" t="s">
        <v>19</v>
      </c>
      <c r="D222" s="1" t="s">
        <v>23</v>
      </c>
      <c r="E222" s="1">
        <v>89999</v>
      </c>
      <c r="F222" s="1">
        <v>15</v>
      </c>
      <c r="G222" s="10">
        <v>1349985</v>
      </c>
      <c r="H222" s="1">
        <f>Table1[[#This Row],[Price]]*Table1[[#This Row],[Units]]</f>
        <v>1349985</v>
      </c>
      <c r="I222" s="1">
        <f>YEAR(Table1[[#This Row],[Date]])</f>
        <v>2022</v>
      </c>
      <c r="J222" t="str">
        <f>TEXT(Table1[[#This Row],[Date]],"MMM")</f>
        <v>May</v>
      </c>
      <c r="K222">
        <f>DAY(Table1[[#This Row],[Date]])</f>
        <v>30</v>
      </c>
      <c r="L222" t="str">
        <f>TEXT(Table1[[#This Row],[Date]],"ddd")</f>
        <v>Mon</v>
      </c>
    </row>
    <row r="223" spans="1:12" x14ac:dyDescent="0.3">
      <c r="A223" s="9">
        <v>44715</v>
      </c>
      <c r="B223" s="1" t="s">
        <v>9</v>
      </c>
      <c r="C223" s="1" t="s">
        <v>15</v>
      </c>
      <c r="D223" s="1" t="s">
        <v>17</v>
      </c>
      <c r="E223" s="1">
        <v>13999</v>
      </c>
      <c r="F223" s="1">
        <v>22</v>
      </c>
      <c r="G223" s="10">
        <v>307978</v>
      </c>
      <c r="H223" s="1">
        <f>Table1[[#This Row],[Price]]*Table1[[#This Row],[Units]]</f>
        <v>307978</v>
      </c>
      <c r="I223" s="1">
        <f>YEAR(Table1[[#This Row],[Date]])</f>
        <v>2022</v>
      </c>
      <c r="J223" t="str">
        <f>TEXT(Table1[[#This Row],[Date]],"MMM")</f>
        <v>Jun</v>
      </c>
      <c r="K223">
        <f>DAY(Table1[[#This Row],[Date]])</f>
        <v>3</v>
      </c>
      <c r="L223" t="str">
        <f>TEXT(Table1[[#This Row],[Date]],"ddd")</f>
        <v>Fri</v>
      </c>
    </row>
    <row r="224" spans="1:12" x14ac:dyDescent="0.3">
      <c r="A224" s="9">
        <v>44719</v>
      </c>
      <c r="B224" s="1" t="s">
        <v>11</v>
      </c>
      <c r="C224" s="1" t="s">
        <v>21</v>
      </c>
      <c r="D224" s="1" t="s">
        <v>13</v>
      </c>
      <c r="E224" s="1">
        <v>2900</v>
      </c>
      <c r="F224" s="1">
        <v>20</v>
      </c>
      <c r="G224" s="10">
        <v>58000</v>
      </c>
      <c r="H224" s="1">
        <f>Table1[[#This Row],[Price]]*Table1[[#This Row],[Units]]</f>
        <v>58000</v>
      </c>
      <c r="I224" s="1">
        <f>YEAR(Table1[[#This Row],[Date]])</f>
        <v>2022</v>
      </c>
      <c r="J224" t="str">
        <f>TEXT(Table1[[#This Row],[Date]],"MMM")</f>
        <v>Jun</v>
      </c>
      <c r="K224">
        <f>DAY(Table1[[#This Row],[Date]])</f>
        <v>7</v>
      </c>
      <c r="L224" t="str">
        <f>TEXT(Table1[[#This Row],[Date]],"ddd")</f>
        <v>Tue</v>
      </c>
    </row>
    <row r="225" spans="1:12" x14ac:dyDescent="0.3">
      <c r="A225" s="9">
        <v>44723</v>
      </c>
      <c r="B225" s="1" t="s">
        <v>9</v>
      </c>
      <c r="C225" s="1" t="s">
        <v>19</v>
      </c>
      <c r="D225" s="1" t="s">
        <v>17</v>
      </c>
      <c r="E225" s="1">
        <v>33000</v>
      </c>
      <c r="F225" s="1">
        <v>16</v>
      </c>
      <c r="G225" s="10">
        <v>528000</v>
      </c>
      <c r="H225" s="1">
        <f>Table1[[#This Row],[Price]]*Table1[[#This Row],[Units]]</f>
        <v>528000</v>
      </c>
      <c r="I225" s="1">
        <f>YEAR(Table1[[#This Row],[Date]])</f>
        <v>2022</v>
      </c>
      <c r="J225" t="str">
        <f>TEXT(Table1[[#This Row],[Date]],"MMM")</f>
        <v>Jun</v>
      </c>
      <c r="K225">
        <f>DAY(Table1[[#This Row],[Date]])</f>
        <v>11</v>
      </c>
      <c r="L225" t="str">
        <f>TEXT(Table1[[#This Row],[Date]],"ddd")</f>
        <v>Sat</v>
      </c>
    </row>
    <row r="226" spans="1:12" x14ac:dyDescent="0.3">
      <c r="A226" s="9">
        <v>44727</v>
      </c>
      <c r="B226" s="1" t="s">
        <v>18</v>
      </c>
      <c r="C226" s="1" t="s">
        <v>15</v>
      </c>
      <c r="D226" s="1" t="s">
        <v>10</v>
      </c>
      <c r="E226" s="1">
        <v>22000</v>
      </c>
      <c r="F226" s="1">
        <v>17</v>
      </c>
      <c r="G226" s="10">
        <v>374000</v>
      </c>
      <c r="H226" s="1">
        <f>Table1[[#This Row],[Price]]*Table1[[#This Row],[Units]]</f>
        <v>374000</v>
      </c>
      <c r="I226" s="1">
        <f>YEAR(Table1[[#This Row],[Date]])</f>
        <v>2022</v>
      </c>
      <c r="J226" t="str">
        <f>TEXT(Table1[[#This Row],[Date]],"MMM")</f>
        <v>Jun</v>
      </c>
      <c r="K226">
        <f>DAY(Table1[[#This Row],[Date]])</f>
        <v>15</v>
      </c>
      <c r="L226" t="str">
        <f>TEXT(Table1[[#This Row],[Date]],"ddd")</f>
        <v>Wed</v>
      </c>
    </row>
    <row r="227" spans="1:12" x14ac:dyDescent="0.3">
      <c r="A227" s="9">
        <v>44731</v>
      </c>
      <c r="B227" s="1" t="s">
        <v>22</v>
      </c>
      <c r="C227" s="1" t="s">
        <v>21</v>
      </c>
      <c r="D227" s="1" t="s">
        <v>10</v>
      </c>
      <c r="E227" s="1">
        <v>699</v>
      </c>
      <c r="F227" s="1">
        <v>50</v>
      </c>
      <c r="G227" s="10">
        <v>34950</v>
      </c>
      <c r="H227" s="1">
        <f>Table1[[#This Row],[Price]]*Table1[[#This Row],[Units]]</f>
        <v>34950</v>
      </c>
      <c r="I227" s="1">
        <f>YEAR(Table1[[#This Row],[Date]])</f>
        <v>2022</v>
      </c>
      <c r="J227" t="str">
        <f>TEXT(Table1[[#This Row],[Date]],"MMM")</f>
        <v>Jun</v>
      </c>
      <c r="K227">
        <f>DAY(Table1[[#This Row],[Date]])</f>
        <v>19</v>
      </c>
      <c r="L227" t="str">
        <f>TEXT(Table1[[#This Row],[Date]],"ddd")</f>
        <v>Sun</v>
      </c>
    </row>
    <row r="228" spans="1:12" x14ac:dyDescent="0.3">
      <c r="A228" s="9">
        <v>44735</v>
      </c>
      <c r="B228" s="1" t="s">
        <v>11</v>
      </c>
      <c r="C228" s="1" t="s">
        <v>19</v>
      </c>
      <c r="D228" s="1" t="s">
        <v>13</v>
      </c>
      <c r="E228" s="1">
        <v>499</v>
      </c>
      <c r="F228" s="1">
        <v>4</v>
      </c>
      <c r="G228" s="10">
        <v>1996</v>
      </c>
      <c r="H228" s="1">
        <f>Table1[[#This Row],[Price]]*Table1[[#This Row],[Units]]</f>
        <v>1996</v>
      </c>
      <c r="I228" s="1">
        <f>YEAR(Table1[[#This Row],[Date]])</f>
        <v>2022</v>
      </c>
      <c r="J228" t="str">
        <f>TEXT(Table1[[#This Row],[Date]],"MMM")</f>
        <v>Jun</v>
      </c>
      <c r="K228">
        <f>DAY(Table1[[#This Row],[Date]])</f>
        <v>23</v>
      </c>
      <c r="L228" t="str">
        <f>TEXT(Table1[[#This Row],[Date]],"ddd")</f>
        <v>Thu</v>
      </c>
    </row>
    <row r="229" spans="1:12" x14ac:dyDescent="0.3">
      <c r="A229" s="9">
        <v>44739</v>
      </c>
      <c r="B229" s="1" t="s">
        <v>22</v>
      </c>
      <c r="C229" s="1" t="s">
        <v>21</v>
      </c>
      <c r="D229" s="1" t="s">
        <v>17</v>
      </c>
      <c r="E229" s="1">
        <v>590</v>
      </c>
      <c r="F229" s="1">
        <v>43</v>
      </c>
      <c r="G229" s="10">
        <v>25370</v>
      </c>
      <c r="H229" s="1">
        <f>Table1[[#This Row],[Price]]*Table1[[#This Row],[Units]]</f>
        <v>25370</v>
      </c>
      <c r="I229" s="1">
        <f>YEAR(Table1[[#This Row],[Date]])</f>
        <v>2022</v>
      </c>
      <c r="J229" t="str">
        <f>TEXT(Table1[[#This Row],[Date]],"MMM")</f>
        <v>Jun</v>
      </c>
      <c r="K229">
        <f>DAY(Table1[[#This Row],[Date]])</f>
        <v>27</v>
      </c>
      <c r="L229" t="str">
        <f>TEXT(Table1[[#This Row],[Date]],"ddd")</f>
        <v>Mon</v>
      </c>
    </row>
    <row r="230" spans="1:12" x14ac:dyDescent="0.3">
      <c r="A230" s="9">
        <v>44743</v>
      </c>
      <c r="B230" s="1" t="s">
        <v>22</v>
      </c>
      <c r="C230" s="1" t="s">
        <v>21</v>
      </c>
      <c r="D230" s="1" t="s">
        <v>10</v>
      </c>
      <c r="E230" s="1">
        <v>590</v>
      </c>
      <c r="F230" s="1">
        <v>42</v>
      </c>
      <c r="G230" s="10">
        <v>24780</v>
      </c>
      <c r="H230" s="1">
        <f>Table1[[#This Row],[Price]]*Table1[[#This Row],[Units]]</f>
        <v>24780</v>
      </c>
      <c r="I230" s="1">
        <f>YEAR(Table1[[#This Row],[Date]])</f>
        <v>2022</v>
      </c>
      <c r="J230" t="str">
        <f>TEXT(Table1[[#This Row],[Date]],"MMM")</f>
        <v>Jul</v>
      </c>
      <c r="K230">
        <f>DAY(Table1[[#This Row],[Date]])</f>
        <v>1</v>
      </c>
      <c r="L230" t="str">
        <f>TEXT(Table1[[#This Row],[Date]],"ddd")</f>
        <v>Fri</v>
      </c>
    </row>
    <row r="231" spans="1:12" x14ac:dyDescent="0.3">
      <c r="A231" s="9">
        <v>44747</v>
      </c>
      <c r="B231" s="1" t="s">
        <v>14</v>
      </c>
      <c r="C231" s="1" t="s">
        <v>16</v>
      </c>
      <c r="D231" s="1" t="s">
        <v>8</v>
      </c>
      <c r="E231" s="1">
        <v>120</v>
      </c>
      <c r="F231" s="1">
        <v>9</v>
      </c>
      <c r="G231" s="10">
        <v>1080</v>
      </c>
      <c r="H231" s="1">
        <f>Table1[[#This Row],[Price]]*Table1[[#This Row],[Units]]</f>
        <v>1080</v>
      </c>
      <c r="I231" s="1">
        <f>YEAR(Table1[[#This Row],[Date]])</f>
        <v>2022</v>
      </c>
      <c r="J231" t="str">
        <f>TEXT(Table1[[#This Row],[Date]],"MMM")</f>
        <v>Jul</v>
      </c>
      <c r="K231">
        <f>DAY(Table1[[#This Row],[Date]])</f>
        <v>5</v>
      </c>
      <c r="L231" t="str">
        <f>TEXT(Table1[[#This Row],[Date]],"ddd")</f>
        <v>Tue</v>
      </c>
    </row>
    <row r="232" spans="1:12" x14ac:dyDescent="0.3">
      <c r="A232" s="9">
        <v>44751</v>
      </c>
      <c r="B232" s="1" t="s">
        <v>11</v>
      </c>
      <c r="C232" s="1" t="s">
        <v>19</v>
      </c>
      <c r="D232" s="1" t="s">
        <v>23</v>
      </c>
      <c r="E232" s="1">
        <v>52000</v>
      </c>
      <c r="F232" s="1">
        <v>40</v>
      </c>
      <c r="G232" s="10">
        <v>2080000</v>
      </c>
      <c r="H232" s="1">
        <f>Table1[[#This Row],[Price]]*Table1[[#This Row],[Units]]</f>
        <v>2080000</v>
      </c>
      <c r="I232" s="1">
        <f>YEAR(Table1[[#This Row],[Date]])</f>
        <v>2022</v>
      </c>
      <c r="J232" t="str">
        <f>TEXT(Table1[[#This Row],[Date]],"MMM")</f>
        <v>Jul</v>
      </c>
      <c r="K232">
        <f>DAY(Table1[[#This Row],[Date]])</f>
        <v>9</v>
      </c>
      <c r="L232" t="str">
        <f>TEXT(Table1[[#This Row],[Date]],"ddd")</f>
        <v>Sat</v>
      </c>
    </row>
    <row r="233" spans="1:12" x14ac:dyDescent="0.3">
      <c r="A233" s="9">
        <v>44755</v>
      </c>
      <c r="B233" s="1" t="s">
        <v>18</v>
      </c>
      <c r="C233" s="1" t="s">
        <v>15</v>
      </c>
      <c r="D233" s="1" t="s">
        <v>17</v>
      </c>
      <c r="E233" s="1">
        <v>7999</v>
      </c>
      <c r="F233" s="1">
        <v>14</v>
      </c>
      <c r="G233" s="10">
        <v>111986</v>
      </c>
      <c r="H233" s="1">
        <f>Table1[[#This Row],[Price]]*Table1[[#This Row],[Units]]</f>
        <v>111986</v>
      </c>
      <c r="I233" s="1">
        <f>YEAR(Table1[[#This Row],[Date]])</f>
        <v>2022</v>
      </c>
      <c r="J233" t="str">
        <f>TEXT(Table1[[#This Row],[Date]],"MMM")</f>
        <v>Jul</v>
      </c>
      <c r="K233">
        <f>DAY(Table1[[#This Row],[Date]])</f>
        <v>13</v>
      </c>
      <c r="L233" t="str">
        <f>TEXT(Table1[[#This Row],[Date]],"ddd")</f>
        <v>Wed</v>
      </c>
    </row>
    <row r="234" spans="1:12" x14ac:dyDescent="0.3">
      <c r="A234" s="9">
        <v>44759</v>
      </c>
      <c r="B234" s="1" t="s">
        <v>11</v>
      </c>
      <c r="C234" s="1" t="s">
        <v>12</v>
      </c>
      <c r="D234" s="1" t="s">
        <v>20</v>
      </c>
      <c r="E234" s="1">
        <v>550</v>
      </c>
      <c r="F234" s="1">
        <v>9</v>
      </c>
      <c r="G234" s="10">
        <v>4950</v>
      </c>
      <c r="H234" s="1">
        <f>Table1[[#This Row],[Price]]*Table1[[#This Row],[Units]]</f>
        <v>4950</v>
      </c>
      <c r="I234" s="1">
        <f>YEAR(Table1[[#This Row],[Date]])</f>
        <v>2022</v>
      </c>
      <c r="J234" t="str">
        <f>TEXT(Table1[[#This Row],[Date]],"MMM")</f>
        <v>Jul</v>
      </c>
      <c r="K234">
        <f>DAY(Table1[[#This Row],[Date]])</f>
        <v>17</v>
      </c>
      <c r="L234" t="str">
        <f>TEXT(Table1[[#This Row],[Date]],"ddd")</f>
        <v>Sun</v>
      </c>
    </row>
    <row r="235" spans="1:12" x14ac:dyDescent="0.3">
      <c r="A235" s="9">
        <v>44763</v>
      </c>
      <c r="B235" s="1" t="s">
        <v>18</v>
      </c>
      <c r="C235" s="1" t="s">
        <v>19</v>
      </c>
      <c r="D235" s="1" t="s">
        <v>17</v>
      </c>
      <c r="E235" s="1">
        <v>79999</v>
      </c>
      <c r="F235" s="1">
        <v>10</v>
      </c>
      <c r="G235" s="10">
        <v>799990</v>
      </c>
      <c r="H235" s="1">
        <f>Table1[[#This Row],[Price]]*Table1[[#This Row],[Units]]</f>
        <v>799990</v>
      </c>
      <c r="I235" s="1">
        <f>YEAR(Table1[[#This Row],[Date]])</f>
        <v>2022</v>
      </c>
      <c r="J235" t="str">
        <f>TEXT(Table1[[#This Row],[Date]],"MMM")</f>
        <v>Jul</v>
      </c>
      <c r="K235">
        <f>DAY(Table1[[#This Row],[Date]])</f>
        <v>21</v>
      </c>
      <c r="L235" t="str">
        <f>TEXT(Table1[[#This Row],[Date]],"ddd")</f>
        <v>Thu</v>
      </c>
    </row>
    <row r="236" spans="1:12" x14ac:dyDescent="0.3">
      <c r="A236" s="9">
        <v>44767</v>
      </c>
      <c r="B236" s="1" t="s">
        <v>9</v>
      </c>
      <c r="C236" s="1" t="s">
        <v>15</v>
      </c>
      <c r="D236" s="1" t="s">
        <v>10</v>
      </c>
      <c r="E236" s="1">
        <v>1999</v>
      </c>
      <c r="F236" s="1">
        <v>37</v>
      </c>
      <c r="G236" s="10">
        <v>73963</v>
      </c>
      <c r="H236" s="1">
        <f>Table1[[#This Row],[Price]]*Table1[[#This Row],[Units]]</f>
        <v>73963</v>
      </c>
      <c r="I236" s="1">
        <f>YEAR(Table1[[#This Row],[Date]])</f>
        <v>2022</v>
      </c>
      <c r="J236" t="str">
        <f>TEXT(Table1[[#This Row],[Date]],"MMM")</f>
        <v>Jul</v>
      </c>
      <c r="K236">
        <f>DAY(Table1[[#This Row],[Date]])</f>
        <v>25</v>
      </c>
      <c r="L236" t="str">
        <f>TEXT(Table1[[#This Row],[Date]],"ddd")</f>
        <v>Mon</v>
      </c>
    </row>
    <row r="237" spans="1:12" x14ac:dyDescent="0.3">
      <c r="A237" s="9">
        <v>44771</v>
      </c>
      <c r="B237" s="1" t="s">
        <v>11</v>
      </c>
      <c r="C237" s="1" t="s">
        <v>19</v>
      </c>
      <c r="D237" s="1" t="s">
        <v>17</v>
      </c>
      <c r="E237" s="1">
        <v>89999</v>
      </c>
      <c r="F237" s="1">
        <v>29</v>
      </c>
      <c r="G237" s="10">
        <v>2609971</v>
      </c>
      <c r="H237" s="1">
        <f>Table1[[#This Row],[Price]]*Table1[[#This Row],[Units]]</f>
        <v>2609971</v>
      </c>
      <c r="I237" s="1">
        <f>YEAR(Table1[[#This Row],[Date]])</f>
        <v>2022</v>
      </c>
      <c r="J237" t="str">
        <f>TEXT(Table1[[#This Row],[Date]],"MMM")</f>
        <v>Jul</v>
      </c>
      <c r="K237">
        <f>DAY(Table1[[#This Row],[Date]])</f>
        <v>29</v>
      </c>
      <c r="L237" t="str">
        <f>TEXT(Table1[[#This Row],[Date]],"ddd")</f>
        <v>Fri</v>
      </c>
    </row>
    <row r="238" spans="1:12" x14ac:dyDescent="0.3">
      <c r="A238" s="9">
        <v>44775</v>
      </c>
      <c r="B238" s="1" t="s">
        <v>18</v>
      </c>
      <c r="C238" s="1" t="s">
        <v>19</v>
      </c>
      <c r="D238" s="1" t="s">
        <v>8</v>
      </c>
      <c r="E238" s="1">
        <v>799</v>
      </c>
      <c r="F238" s="1">
        <v>44</v>
      </c>
      <c r="G238" s="10">
        <v>35156</v>
      </c>
      <c r="H238" s="1">
        <f>Table1[[#This Row],[Price]]*Table1[[#This Row],[Units]]</f>
        <v>35156</v>
      </c>
      <c r="I238" s="1">
        <f>YEAR(Table1[[#This Row],[Date]])</f>
        <v>2022</v>
      </c>
      <c r="J238" t="str">
        <f>TEXT(Table1[[#This Row],[Date]],"MMM")</f>
        <v>Aug</v>
      </c>
      <c r="K238">
        <f>DAY(Table1[[#This Row],[Date]])</f>
        <v>2</v>
      </c>
      <c r="L238" t="str">
        <f>TEXT(Table1[[#This Row],[Date]],"ddd")</f>
        <v>Tue</v>
      </c>
    </row>
    <row r="239" spans="1:12" x14ac:dyDescent="0.3">
      <c r="A239" s="9">
        <v>44779</v>
      </c>
      <c r="B239" s="1" t="s">
        <v>18</v>
      </c>
      <c r="C239" s="1" t="s">
        <v>19</v>
      </c>
      <c r="D239" s="1" t="s">
        <v>23</v>
      </c>
      <c r="E239" s="1">
        <v>3990</v>
      </c>
      <c r="F239" s="1">
        <v>31</v>
      </c>
      <c r="G239" s="10">
        <v>123690</v>
      </c>
      <c r="H239" s="1">
        <f>Table1[[#This Row],[Price]]*Table1[[#This Row],[Units]]</f>
        <v>123690</v>
      </c>
      <c r="I239" s="1">
        <f>YEAR(Table1[[#This Row],[Date]])</f>
        <v>2022</v>
      </c>
      <c r="J239" t="str">
        <f>TEXT(Table1[[#This Row],[Date]],"MMM")</f>
        <v>Aug</v>
      </c>
      <c r="K239">
        <f>DAY(Table1[[#This Row],[Date]])</f>
        <v>6</v>
      </c>
      <c r="L239" t="str">
        <f>TEXT(Table1[[#This Row],[Date]],"ddd")</f>
        <v>Sat</v>
      </c>
    </row>
    <row r="240" spans="1:12" x14ac:dyDescent="0.3">
      <c r="A240" s="9">
        <v>44783</v>
      </c>
      <c r="B240" s="1" t="s">
        <v>11</v>
      </c>
      <c r="C240" s="1" t="s">
        <v>15</v>
      </c>
      <c r="D240" s="1" t="s">
        <v>13</v>
      </c>
      <c r="E240" s="1">
        <v>52000</v>
      </c>
      <c r="F240" s="1">
        <v>29</v>
      </c>
      <c r="G240" s="10">
        <v>1508000</v>
      </c>
      <c r="H240" s="1">
        <f>Table1[[#This Row],[Price]]*Table1[[#This Row],[Units]]</f>
        <v>1508000</v>
      </c>
      <c r="I240" s="1">
        <f>YEAR(Table1[[#This Row],[Date]])</f>
        <v>2022</v>
      </c>
      <c r="J240" t="str">
        <f>TEXT(Table1[[#This Row],[Date]],"MMM")</f>
        <v>Aug</v>
      </c>
      <c r="K240">
        <f>DAY(Table1[[#This Row],[Date]])</f>
        <v>10</v>
      </c>
      <c r="L240" t="str">
        <f>TEXT(Table1[[#This Row],[Date]],"ddd")</f>
        <v>Wed</v>
      </c>
    </row>
    <row r="241" spans="1:12" x14ac:dyDescent="0.3">
      <c r="A241" s="9">
        <v>44787</v>
      </c>
      <c r="B241" s="1" t="s">
        <v>6</v>
      </c>
      <c r="C241" s="1" t="s">
        <v>7</v>
      </c>
      <c r="D241" s="1" t="s">
        <v>17</v>
      </c>
      <c r="E241" s="1">
        <v>13999</v>
      </c>
      <c r="F241" s="1">
        <v>34</v>
      </c>
      <c r="G241" s="10">
        <v>475966</v>
      </c>
      <c r="H241" s="1">
        <f>Table1[[#This Row],[Price]]*Table1[[#This Row],[Units]]</f>
        <v>475966</v>
      </c>
      <c r="I241" s="1">
        <f>YEAR(Table1[[#This Row],[Date]])</f>
        <v>2022</v>
      </c>
      <c r="J241" t="str">
        <f>TEXT(Table1[[#This Row],[Date]],"MMM")</f>
        <v>Aug</v>
      </c>
      <c r="K241">
        <f>DAY(Table1[[#This Row],[Date]])</f>
        <v>14</v>
      </c>
      <c r="L241" t="str">
        <f>TEXT(Table1[[#This Row],[Date]],"ddd")</f>
        <v>Sun</v>
      </c>
    </row>
    <row r="242" spans="1:12" x14ac:dyDescent="0.3">
      <c r="A242" s="9">
        <v>44791</v>
      </c>
      <c r="B242" s="1" t="s">
        <v>11</v>
      </c>
      <c r="C242" s="1" t="s">
        <v>16</v>
      </c>
      <c r="D242" s="1" t="s">
        <v>13</v>
      </c>
      <c r="E242" s="1">
        <v>120</v>
      </c>
      <c r="F242" s="1">
        <v>29</v>
      </c>
      <c r="G242" s="10">
        <v>3480</v>
      </c>
      <c r="H242" s="1">
        <f>Table1[[#This Row],[Price]]*Table1[[#This Row],[Units]]</f>
        <v>3480</v>
      </c>
      <c r="I242" s="1">
        <f>YEAR(Table1[[#This Row],[Date]])</f>
        <v>2022</v>
      </c>
      <c r="J242" t="str">
        <f>TEXT(Table1[[#This Row],[Date]],"MMM")</f>
        <v>Aug</v>
      </c>
      <c r="K242">
        <f>DAY(Table1[[#This Row],[Date]])</f>
        <v>18</v>
      </c>
      <c r="L242" t="str">
        <f>TEXT(Table1[[#This Row],[Date]],"ddd")</f>
        <v>Thu</v>
      </c>
    </row>
    <row r="243" spans="1:12" x14ac:dyDescent="0.3">
      <c r="A243" s="9">
        <v>44795</v>
      </c>
      <c r="B243" s="1" t="s">
        <v>18</v>
      </c>
      <c r="C243" s="1" t="s">
        <v>12</v>
      </c>
      <c r="D243" s="1" t="s">
        <v>8</v>
      </c>
      <c r="E243" s="1">
        <v>23999</v>
      </c>
      <c r="F243" s="1">
        <v>25</v>
      </c>
      <c r="G243" s="10">
        <v>599975</v>
      </c>
      <c r="H243" s="1">
        <f>Table1[[#This Row],[Price]]*Table1[[#This Row],[Units]]</f>
        <v>599975</v>
      </c>
      <c r="I243" s="1">
        <f>YEAR(Table1[[#This Row],[Date]])</f>
        <v>2022</v>
      </c>
      <c r="J243" t="str">
        <f>TEXT(Table1[[#This Row],[Date]],"MMM")</f>
        <v>Aug</v>
      </c>
      <c r="K243">
        <f>DAY(Table1[[#This Row],[Date]])</f>
        <v>22</v>
      </c>
      <c r="L243" t="str">
        <f>TEXT(Table1[[#This Row],[Date]],"ddd")</f>
        <v>Mon</v>
      </c>
    </row>
    <row r="244" spans="1:12" x14ac:dyDescent="0.3">
      <c r="A244" s="9">
        <v>44799</v>
      </c>
      <c r="B244" s="1" t="s">
        <v>11</v>
      </c>
      <c r="C244" s="1" t="s">
        <v>12</v>
      </c>
      <c r="D244" s="1" t="s">
        <v>17</v>
      </c>
      <c r="E244" s="1">
        <v>1250</v>
      </c>
      <c r="F244" s="1">
        <v>31</v>
      </c>
      <c r="G244" s="10">
        <v>38750</v>
      </c>
      <c r="H244" s="1">
        <f>Table1[[#This Row],[Price]]*Table1[[#This Row],[Units]]</f>
        <v>38750</v>
      </c>
      <c r="I244" s="1">
        <f>YEAR(Table1[[#This Row],[Date]])</f>
        <v>2022</v>
      </c>
      <c r="J244" t="str">
        <f>TEXT(Table1[[#This Row],[Date]],"MMM")</f>
        <v>Aug</v>
      </c>
      <c r="K244">
        <f>DAY(Table1[[#This Row],[Date]])</f>
        <v>26</v>
      </c>
      <c r="L244" t="str">
        <f>TEXT(Table1[[#This Row],[Date]],"ddd")</f>
        <v>Fri</v>
      </c>
    </row>
    <row r="245" spans="1:12" x14ac:dyDescent="0.3">
      <c r="A245" s="9">
        <v>44803</v>
      </c>
      <c r="B245" s="1" t="s">
        <v>22</v>
      </c>
      <c r="C245" s="1" t="s">
        <v>15</v>
      </c>
      <c r="D245" s="1" t="s">
        <v>17</v>
      </c>
      <c r="E245" s="1">
        <v>45000</v>
      </c>
      <c r="F245" s="1">
        <v>16</v>
      </c>
      <c r="G245" s="10">
        <v>720000</v>
      </c>
      <c r="H245" s="1">
        <f>Table1[[#This Row],[Price]]*Table1[[#This Row],[Units]]</f>
        <v>720000</v>
      </c>
      <c r="I245" s="1">
        <f>YEAR(Table1[[#This Row],[Date]])</f>
        <v>2022</v>
      </c>
      <c r="J245" t="str">
        <f>TEXT(Table1[[#This Row],[Date]],"MMM")</f>
        <v>Aug</v>
      </c>
      <c r="K245">
        <f>DAY(Table1[[#This Row],[Date]])</f>
        <v>30</v>
      </c>
      <c r="L245" t="str">
        <f>TEXT(Table1[[#This Row],[Date]],"ddd")</f>
        <v>Tue</v>
      </c>
    </row>
    <row r="246" spans="1:12" x14ac:dyDescent="0.3">
      <c r="A246" s="9">
        <v>44807</v>
      </c>
      <c r="B246" s="1" t="s">
        <v>9</v>
      </c>
      <c r="C246" s="1" t="s">
        <v>16</v>
      </c>
      <c r="D246" s="1" t="s">
        <v>13</v>
      </c>
      <c r="E246" s="1">
        <v>120</v>
      </c>
      <c r="F246" s="1">
        <v>48</v>
      </c>
      <c r="G246" s="10">
        <v>5760</v>
      </c>
      <c r="H246" s="1">
        <f>Table1[[#This Row],[Price]]*Table1[[#This Row],[Units]]</f>
        <v>5760</v>
      </c>
      <c r="I246" s="1">
        <f>YEAR(Table1[[#This Row],[Date]])</f>
        <v>2022</v>
      </c>
      <c r="J246" t="str">
        <f>TEXT(Table1[[#This Row],[Date]],"MMM")</f>
        <v>Sep</v>
      </c>
      <c r="K246">
        <f>DAY(Table1[[#This Row],[Date]])</f>
        <v>3</v>
      </c>
      <c r="L246" t="str">
        <f>TEXT(Table1[[#This Row],[Date]],"ddd")</f>
        <v>Sat</v>
      </c>
    </row>
    <row r="247" spans="1:12" x14ac:dyDescent="0.3">
      <c r="A247" s="9">
        <v>44811</v>
      </c>
      <c r="B247" s="1" t="s">
        <v>11</v>
      </c>
      <c r="C247" s="1" t="s">
        <v>15</v>
      </c>
      <c r="D247" s="1" t="s">
        <v>20</v>
      </c>
      <c r="E247" s="1">
        <v>25600</v>
      </c>
      <c r="F247" s="1">
        <v>22</v>
      </c>
      <c r="G247" s="10">
        <v>563200</v>
      </c>
      <c r="H247" s="1">
        <f>Table1[[#This Row],[Price]]*Table1[[#This Row],[Units]]</f>
        <v>563200</v>
      </c>
      <c r="I247" s="1">
        <f>YEAR(Table1[[#This Row],[Date]])</f>
        <v>2022</v>
      </c>
      <c r="J247" t="str">
        <f>TEXT(Table1[[#This Row],[Date]],"MMM")</f>
        <v>Sep</v>
      </c>
      <c r="K247">
        <f>DAY(Table1[[#This Row],[Date]])</f>
        <v>7</v>
      </c>
      <c r="L247" t="str">
        <f>TEXT(Table1[[#This Row],[Date]],"ddd")</f>
        <v>Wed</v>
      </c>
    </row>
    <row r="248" spans="1:12" x14ac:dyDescent="0.3">
      <c r="A248" s="9">
        <v>44815</v>
      </c>
      <c r="B248" s="1" t="s">
        <v>22</v>
      </c>
      <c r="C248" s="1" t="s">
        <v>21</v>
      </c>
      <c r="D248" s="1" t="s">
        <v>17</v>
      </c>
      <c r="E248" s="1">
        <v>699</v>
      </c>
      <c r="F248" s="1">
        <v>6</v>
      </c>
      <c r="G248" s="10">
        <v>4194</v>
      </c>
      <c r="H248" s="1">
        <f>Table1[[#This Row],[Price]]*Table1[[#This Row],[Units]]</f>
        <v>4194</v>
      </c>
      <c r="I248" s="1">
        <f>YEAR(Table1[[#This Row],[Date]])</f>
        <v>2022</v>
      </c>
      <c r="J248" t="str">
        <f>TEXT(Table1[[#This Row],[Date]],"MMM")</f>
        <v>Sep</v>
      </c>
      <c r="K248">
        <f>DAY(Table1[[#This Row],[Date]])</f>
        <v>11</v>
      </c>
      <c r="L248" t="str">
        <f>TEXT(Table1[[#This Row],[Date]],"ddd")</f>
        <v>Sun</v>
      </c>
    </row>
    <row r="249" spans="1:12" x14ac:dyDescent="0.3">
      <c r="A249" s="9">
        <v>44819</v>
      </c>
      <c r="B249" s="1" t="s">
        <v>22</v>
      </c>
      <c r="C249" s="1" t="s">
        <v>15</v>
      </c>
      <c r="D249" s="1" t="s">
        <v>13</v>
      </c>
      <c r="E249" s="1">
        <v>99620</v>
      </c>
      <c r="F249" s="1">
        <v>12</v>
      </c>
      <c r="G249" s="10">
        <v>1195440</v>
      </c>
      <c r="H249" s="1">
        <f>Table1[[#This Row],[Price]]*Table1[[#This Row],[Units]]</f>
        <v>1195440</v>
      </c>
      <c r="I249" s="1">
        <f>YEAR(Table1[[#This Row],[Date]])</f>
        <v>2022</v>
      </c>
      <c r="J249" t="str">
        <f>TEXT(Table1[[#This Row],[Date]],"MMM")</f>
        <v>Sep</v>
      </c>
      <c r="K249">
        <f>DAY(Table1[[#This Row],[Date]])</f>
        <v>15</v>
      </c>
      <c r="L249" t="str">
        <f>TEXT(Table1[[#This Row],[Date]],"ddd")</f>
        <v>Thu</v>
      </c>
    </row>
    <row r="250" spans="1:12" x14ac:dyDescent="0.3">
      <c r="A250" s="9">
        <v>44823</v>
      </c>
      <c r="B250" s="1" t="s">
        <v>11</v>
      </c>
      <c r="C250" s="1" t="s">
        <v>21</v>
      </c>
      <c r="D250" s="1" t="s">
        <v>23</v>
      </c>
      <c r="E250" s="1">
        <v>450</v>
      </c>
      <c r="F250" s="1">
        <v>44</v>
      </c>
      <c r="G250" s="10">
        <v>19800</v>
      </c>
      <c r="H250" s="1">
        <f>Table1[[#This Row],[Price]]*Table1[[#This Row],[Units]]</f>
        <v>19800</v>
      </c>
      <c r="I250" s="1">
        <f>YEAR(Table1[[#This Row],[Date]])</f>
        <v>2022</v>
      </c>
      <c r="J250" t="str">
        <f>TEXT(Table1[[#This Row],[Date]],"MMM")</f>
        <v>Sep</v>
      </c>
      <c r="K250">
        <f>DAY(Table1[[#This Row],[Date]])</f>
        <v>19</v>
      </c>
      <c r="L250" t="str">
        <f>TEXT(Table1[[#This Row],[Date]],"ddd")</f>
        <v>Mon</v>
      </c>
    </row>
    <row r="251" spans="1:12" x14ac:dyDescent="0.3">
      <c r="A251" s="9">
        <v>44827</v>
      </c>
      <c r="B251" s="1" t="s">
        <v>22</v>
      </c>
      <c r="C251" s="1" t="s">
        <v>21</v>
      </c>
      <c r="D251" s="1" t="s">
        <v>13</v>
      </c>
      <c r="E251" s="1">
        <v>1499</v>
      </c>
      <c r="F251" s="1">
        <v>15</v>
      </c>
      <c r="G251" s="10">
        <v>22485</v>
      </c>
      <c r="H251" s="1">
        <f>Table1[[#This Row],[Price]]*Table1[[#This Row],[Units]]</f>
        <v>22485</v>
      </c>
      <c r="I251" s="1">
        <f>YEAR(Table1[[#This Row],[Date]])</f>
        <v>2022</v>
      </c>
      <c r="J251" t="str">
        <f>TEXT(Table1[[#This Row],[Date]],"MMM")</f>
        <v>Sep</v>
      </c>
      <c r="K251">
        <f>DAY(Table1[[#This Row],[Date]])</f>
        <v>23</v>
      </c>
      <c r="L251" t="str">
        <f>TEXT(Table1[[#This Row],[Date]],"ddd")</f>
        <v>Fri</v>
      </c>
    </row>
    <row r="252" spans="1:12" x14ac:dyDescent="0.3">
      <c r="A252" s="9">
        <v>44831</v>
      </c>
      <c r="B252" s="1" t="s">
        <v>6</v>
      </c>
      <c r="C252" s="1" t="s">
        <v>15</v>
      </c>
      <c r="D252" s="1" t="s">
        <v>20</v>
      </c>
      <c r="E252" s="1">
        <v>49500</v>
      </c>
      <c r="F252" s="1">
        <v>26</v>
      </c>
      <c r="G252" s="10">
        <v>1287000</v>
      </c>
      <c r="H252" s="1">
        <f>Table1[[#This Row],[Price]]*Table1[[#This Row],[Units]]</f>
        <v>1287000</v>
      </c>
      <c r="I252" s="1">
        <f>YEAR(Table1[[#This Row],[Date]])</f>
        <v>2022</v>
      </c>
      <c r="J252" t="str">
        <f>TEXT(Table1[[#This Row],[Date]],"MMM")</f>
        <v>Sep</v>
      </c>
      <c r="K252">
        <f>DAY(Table1[[#This Row],[Date]])</f>
        <v>27</v>
      </c>
      <c r="L252" t="str">
        <f>TEXT(Table1[[#This Row],[Date]],"ddd")</f>
        <v>Tue</v>
      </c>
    </row>
    <row r="253" spans="1:12" x14ac:dyDescent="0.3">
      <c r="A253" s="9">
        <v>44835</v>
      </c>
      <c r="B253" s="1" t="s">
        <v>9</v>
      </c>
      <c r="C253" s="1" t="s">
        <v>12</v>
      </c>
      <c r="D253" s="1" t="s">
        <v>20</v>
      </c>
      <c r="E253" s="1">
        <v>960</v>
      </c>
      <c r="F253" s="1">
        <v>16</v>
      </c>
      <c r="G253" s="10">
        <v>15360</v>
      </c>
      <c r="H253" s="1">
        <f>Table1[[#This Row],[Price]]*Table1[[#This Row],[Units]]</f>
        <v>15360</v>
      </c>
      <c r="I253" s="1">
        <f>YEAR(Table1[[#This Row],[Date]])</f>
        <v>2022</v>
      </c>
      <c r="J253" t="str">
        <f>TEXT(Table1[[#This Row],[Date]],"MMM")</f>
        <v>Oct</v>
      </c>
      <c r="K253">
        <f>DAY(Table1[[#This Row],[Date]])</f>
        <v>1</v>
      </c>
      <c r="L253" t="str">
        <f>TEXT(Table1[[#This Row],[Date]],"ddd")</f>
        <v>Sat</v>
      </c>
    </row>
    <row r="254" spans="1:12" x14ac:dyDescent="0.3">
      <c r="A254" s="9">
        <v>44839</v>
      </c>
      <c r="B254" s="1" t="s">
        <v>11</v>
      </c>
      <c r="C254" s="1" t="s">
        <v>7</v>
      </c>
      <c r="D254" s="1" t="s">
        <v>17</v>
      </c>
      <c r="E254" s="1">
        <v>5599</v>
      </c>
      <c r="F254" s="1">
        <v>35</v>
      </c>
      <c r="G254" s="10">
        <v>195965</v>
      </c>
      <c r="H254" s="1">
        <f>Table1[[#This Row],[Price]]*Table1[[#This Row],[Units]]</f>
        <v>195965</v>
      </c>
      <c r="I254" s="1">
        <f>YEAR(Table1[[#This Row],[Date]])</f>
        <v>2022</v>
      </c>
      <c r="J254" t="str">
        <f>TEXT(Table1[[#This Row],[Date]],"MMM")</f>
        <v>Oct</v>
      </c>
      <c r="K254">
        <f>DAY(Table1[[#This Row],[Date]])</f>
        <v>5</v>
      </c>
      <c r="L254" t="str">
        <f>TEXT(Table1[[#This Row],[Date]],"ddd")</f>
        <v>Wed</v>
      </c>
    </row>
    <row r="255" spans="1:12" x14ac:dyDescent="0.3">
      <c r="A255" s="9">
        <v>44843</v>
      </c>
      <c r="B255" s="1" t="s">
        <v>14</v>
      </c>
      <c r="C255" s="1" t="s">
        <v>16</v>
      </c>
      <c r="D255" s="1" t="s">
        <v>8</v>
      </c>
      <c r="E255" s="1">
        <v>89</v>
      </c>
      <c r="F255" s="1">
        <v>36</v>
      </c>
      <c r="G255" s="10">
        <v>3204</v>
      </c>
      <c r="H255" s="1">
        <f>Table1[[#This Row],[Price]]*Table1[[#This Row],[Units]]</f>
        <v>3204</v>
      </c>
      <c r="I255" s="1">
        <f>YEAR(Table1[[#This Row],[Date]])</f>
        <v>2022</v>
      </c>
      <c r="J255" t="str">
        <f>TEXT(Table1[[#This Row],[Date]],"MMM")</f>
        <v>Oct</v>
      </c>
      <c r="K255">
        <f>DAY(Table1[[#This Row],[Date]])</f>
        <v>9</v>
      </c>
      <c r="L255" t="str">
        <f>TEXT(Table1[[#This Row],[Date]],"ddd")</f>
        <v>Sun</v>
      </c>
    </row>
    <row r="256" spans="1:12" x14ac:dyDescent="0.3">
      <c r="A256" s="9">
        <v>44847</v>
      </c>
      <c r="B256" s="1" t="s">
        <v>6</v>
      </c>
      <c r="C256" s="1" t="s">
        <v>7</v>
      </c>
      <c r="D256" s="1" t="s">
        <v>23</v>
      </c>
      <c r="E256" s="1">
        <v>2550</v>
      </c>
      <c r="F256" s="1">
        <v>20</v>
      </c>
      <c r="G256" s="10">
        <v>51000</v>
      </c>
      <c r="H256" s="1">
        <f>Table1[[#This Row],[Price]]*Table1[[#This Row],[Units]]</f>
        <v>51000</v>
      </c>
      <c r="I256" s="1">
        <f>YEAR(Table1[[#This Row],[Date]])</f>
        <v>2022</v>
      </c>
      <c r="J256" t="str">
        <f>TEXT(Table1[[#This Row],[Date]],"MMM")</f>
        <v>Oct</v>
      </c>
      <c r="K256">
        <f>DAY(Table1[[#This Row],[Date]])</f>
        <v>13</v>
      </c>
      <c r="L256" t="str">
        <f>TEXT(Table1[[#This Row],[Date]],"ddd")</f>
        <v>Thu</v>
      </c>
    </row>
    <row r="257" spans="1:12" x14ac:dyDescent="0.3">
      <c r="A257" s="9">
        <v>44851</v>
      </c>
      <c r="B257" s="1" t="s">
        <v>11</v>
      </c>
      <c r="C257" s="1" t="s">
        <v>15</v>
      </c>
      <c r="D257" s="1" t="s">
        <v>8</v>
      </c>
      <c r="E257" s="1">
        <v>14500</v>
      </c>
      <c r="F257" s="1">
        <v>47</v>
      </c>
      <c r="G257" s="10">
        <v>681500</v>
      </c>
      <c r="H257" s="1">
        <f>Table1[[#This Row],[Price]]*Table1[[#This Row],[Units]]</f>
        <v>681500</v>
      </c>
      <c r="I257" s="1">
        <f>YEAR(Table1[[#This Row],[Date]])</f>
        <v>2022</v>
      </c>
      <c r="J257" t="str">
        <f>TEXT(Table1[[#This Row],[Date]],"MMM")</f>
        <v>Oct</v>
      </c>
      <c r="K257">
        <f>DAY(Table1[[#This Row],[Date]])</f>
        <v>17</v>
      </c>
      <c r="L257" t="str">
        <f>TEXT(Table1[[#This Row],[Date]],"ddd")</f>
        <v>Mon</v>
      </c>
    </row>
    <row r="258" spans="1:12" x14ac:dyDescent="0.3">
      <c r="A258" s="9">
        <v>44855</v>
      </c>
      <c r="B258" s="1" t="s">
        <v>22</v>
      </c>
      <c r="C258" s="1" t="s">
        <v>21</v>
      </c>
      <c r="D258" s="1" t="s">
        <v>17</v>
      </c>
      <c r="E258" s="1">
        <v>2900</v>
      </c>
      <c r="F258" s="1">
        <v>6</v>
      </c>
      <c r="G258" s="10">
        <v>17400</v>
      </c>
      <c r="H258" s="1">
        <f>Table1[[#This Row],[Price]]*Table1[[#This Row],[Units]]</f>
        <v>17400</v>
      </c>
      <c r="I258" s="1">
        <f>YEAR(Table1[[#This Row],[Date]])</f>
        <v>2022</v>
      </c>
      <c r="J258" t="str">
        <f>TEXT(Table1[[#This Row],[Date]],"MMM")</f>
        <v>Oct</v>
      </c>
      <c r="K258">
        <f>DAY(Table1[[#This Row],[Date]])</f>
        <v>21</v>
      </c>
      <c r="L258" t="str">
        <f>TEXT(Table1[[#This Row],[Date]],"ddd")</f>
        <v>Fri</v>
      </c>
    </row>
    <row r="259" spans="1:12" x14ac:dyDescent="0.3">
      <c r="A259" s="9">
        <v>44859</v>
      </c>
      <c r="B259" s="1" t="s">
        <v>14</v>
      </c>
      <c r="C259" s="1" t="s">
        <v>16</v>
      </c>
      <c r="D259" s="1" t="s">
        <v>20</v>
      </c>
      <c r="E259" s="1">
        <v>120</v>
      </c>
      <c r="F259" s="1">
        <v>6</v>
      </c>
      <c r="G259" s="10">
        <v>720</v>
      </c>
      <c r="H259" s="1">
        <f>Table1[[#This Row],[Price]]*Table1[[#This Row],[Units]]</f>
        <v>720</v>
      </c>
      <c r="I259" s="1">
        <f>YEAR(Table1[[#This Row],[Date]])</f>
        <v>2022</v>
      </c>
      <c r="J259" t="str">
        <f>TEXT(Table1[[#This Row],[Date]],"MMM")</f>
        <v>Oct</v>
      </c>
      <c r="K259">
        <f>DAY(Table1[[#This Row],[Date]])</f>
        <v>25</v>
      </c>
      <c r="L259" t="str">
        <f>TEXT(Table1[[#This Row],[Date]],"ddd")</f>
        <v>Tue</v>
      </c>
    </row>
    <row r="260" spans="1:12" x14ac:dyDescent="0.3">
      <c r="A260" s="9">
        <v>44863</v>
      </c>
      <c r="B260" s="1" t="s">
        <v>18</v>
      </c>
      <c r="C260" s="1" t="s">
        <v>15</v>
      </c>
      <c r="D260" s="1" t="s">
        <v>13</v>
      </c>
      <c r="E260" s="1">
        <v>52000</v>
      </c>
      <c r="F260" s="1">
        <v>41</v>
      </c>
      <c r="G260" s="10">
        <v>2132000</v>
      </c>
      <c r="H260" s="1">
        <f>Table1[[#This Row],[Price]]*Table1[[#This Row],[Units]]</f>
        <v>2132000</v>
      </c>
      <c r="I260" s="1">
        <f>YEAR(Table1[[#This Row],[Date]])</f>
        <v>2022</v>
      </c>
      <c r="J260" t="str">
        <f>TEXT(Table1[[#This Row],[Date]],"MMM")</f>
        <v>Oct</v>
      </c>
      <c r="K260">
        <f>DAY(Table1[[#This Row],[Date]])</f>
        <v>29</v>
      </c>
      <c r="L260" t="str">
        <f>TEXT(Table1[[#This Row],[Date]],"ddd")</f>
        <v>Sat</v>
      </c>
    </row>
    <row r="261" spans="1:12" x14ac:dyDescent="0.3">
      <c r="A261" s="9">
        <v>44867</v>
      </c>
      <c r="B261" s="1" t="s">
        <v>9</v>
      </c>
      <c r="C261" s="1" t="s">
        <v>21</v>
      </c>
      <c r="D261" s="1" t="s">
        <v>10</v>
      </c>
      <c r="E261" s="1">
        <v>590</v>
      </c>
      <c r="F261" s="1">
        <v>29</v>
      </c>
      <c r="G261" s="10">
        <v>17110</v>
      </c>
      <c r="H261" s="1">
        <f>Table1[[#This Row],[Price]]*Table1[[#This Row],[Units]]</f>
        <v>17110</v>
      </c>
      <c r="I261" s="1">
        <f>YEAR(Table1[[#This Row],[Date]])</f>
        <v>2022</v>
      </c>
      <c r="J261" t="str">
        <f>TEXT(Table1[[#This Row],[Date]],"MMM")</f>
        <v>Nov</v>
      </c>
      <c r="K261">
        <f>DAY(Table1[[#This Row],[Date]])</f>
        <v>2</v>
      </c>
      <c r="L261" t="str">
        <f>TEXT(Table1[[#This Row],[Date]],"ddd")</f>
        <v>Wed</v>
      </c>
    </row>
    <row r="262" spans="1:12" x14ac:dyDescent="0.3">
      <c r="A262" s="9">
        <v>44871</v>
      </c>
      <c r="B262" s="1" t="s">
        <v>18</v>
      </c>
      <c r="C262" s="1" t="s">
        <v>12</v>
      </c>
      <c r="D262" s="1" t="s">
        <v>20</v>
      </c>
      <c r="E262" s="1">
        <v>7999</v>
      </c>
      <c r="F262" s="1">
        <v>31</v>
      </c>
      <c r="G262" s="10">
        <v>247969</v>
      </c>
      <c r="H262" s="1">
        <f>Table1[[#This Row],[Price]]*Table1[[#This Row],[Units]]</f>
        <v>247969</v>
      </c>
      <c r="I262" s="1">
        <f>YEAR(Table1[[#This Row],[Date]])</f>
        <v>2022</v>
      </c>
      <c r="J262" t="str">
        <f>TEXT(Table1[[#This Row],[Date]],"MMM")</f>
        <v>Nov</v>
      </c>
      <c r="K262">
        <f>DAY(Table1[[#This Row],[Date]])</f>
        <v>6</v>
      </c>
      <c r="L262" t="str">
        <f>TEXT(Table1[[#This Row],[Date]],"ddd")</f>
        <v>Sun</v>
      </c>
    </row>
    <row r="263" spans="1:12" x14ac:dyDescent="0.3">
      <c r="A263" s="9">
        <v>44875</v>
      </c>
      <c r="B263" s="1" t="s">
        <v>11</v>
      </c>
      <c r="C263" s="1" t="s">
        <v>16</v>
      </c>
      <c r="D263" s="1" t="s">
        <v>10</v>
      </c>
      <c r="E263" s="1">
        <v>999</v>
      </c>
      <c r="F263" s="1">
        <v>34</v>
      </c>
      <c r="G263" s="10">
        <v>33966</v>
      </c>
      <c r="H263" s="1">
        <f>Table1[[#This Row],[Price]]*Table1[[#This Row],[Units]]</f>
        <v>33966</v>
      </c>
      <c r="I263" s="1">
        <f>YEAR(Table1[[#This Row],[Date]])</f>
        <v>2022</v>
      </c>
      <c r="J263" t="str">
        <f>TEXT(Table1[[#This Row],[Date]],"MMM")</f>
        <v>Nov</v>
      </c>
      <c r="K263">
        <f>DAY(Table1[[#This Row],[Date]])</f>
        <v>10</v>
      </c>
      <c r="L263" t="str">
        <f>TEXT(Table1[[#This Row],[Date]],"ddd")</f>
        <v>Thu</v>
      </c>
    </row>
    <row r="264" spans="1:12" x14ac:dyDescent="0.3">
      <c r="A264" s="9">
        <v>44879</v>
      </c>
      <c r="B264" s="1" t="s">
        <v>22</v>
      </c>
      <c r="C264" s="1" t="s">
        <v>15</v>
      </c>
      <c r="D264" s="1" t="s">
        <v>13</v>
      </c>
      <c r="E264" s="1">
        <v>990</v>
      </c>
      <c r="F264" s="1">
        <v>43</v>
      </c>
      <c r="G264" s="10">
        <v>42570</v>
      </c>
      <c r="H264" s="1">
        <f>Table1[[#This Row],[Price]]*Table1[[#This Row],[Units]]</f>
        <v>42570</v>
      </c>
      <c r="I264" s="1">
        <f>YEAR(Table1[[#This Row],[Date]])</f>
        <v>2022</v>
      </c>
      <c r="J264" t="str">
        <f>TEXT(Table1[[#This Row],[Date]],"MMM")</f>
        <v>Nov</v>
      </c>
      <c r="K264">
        <f>DAY(Table1[[#This Row],[Date]])</f>
        <v>14</v>
      </c>
      <c r="L264" t="str">
        <f>TEXT(Table1[[#This Row],[Date]],"ddd")</f>
        <v>Mon</v>
      </c>
    </row>
    <row r="265" spans="1:12" x14ac:dyDescent="0.3">
      <c r="A265" s="9">
        <v>44883</v>
      </c>
      <c r="B265" s="1" t="s">
        <v>11</v>
      </c>
      <c r="C265" s="1" t="s">
        <v>19</v>
      </c>
      <c r="D265" s="1" t="s">
        <v>8</v>
      </c>
      <c r="E265" s="1">
        <v>11999</v>
      </c>
      <c r="F265" s="1">
        <v>37</v>
      </c>
      <c r="G265" s="10">
        <v>443963</v>
      </c>
      <c r="H265" s="1">
        <f>Table1[[#This Row],[Price]]*Table1[[#This Row],[Units]]</f>
        <v>443963</v>
      </c>
      <c r="I265" s="1">
        <f>YEAR(Table1[[#This Row],[Date]])</f>
        <v>2022</v>
      </c>
      <c r="J265" t="str">
        <f>TEXT(Table1[[#This Row],[Date]],"MMM")</f>
        <v>Nov</v>
      </c>
      <c r="K265">
        <f>DAY(Table1[[#This Row],[Date]])</f>
        <v>18</v>
      </c>
      <c r="L265" t="str">
        <f>TEXT(Table1[[#This Row],[Date]],"ddd")</f>
        <v>Fri</v>
      </c>
    </row>
    <row r="266" spans="1:12" x14ac:dyDescent="0.3">
      <c r="A266" s="9">
        <v>44887</v>
      </c>
      <c r="B266" s="1" t="s">
        <v>9</v>
      </c>
      <c r="C266" s="1" t="s">
        <v>12</v>
      </c>
      <c r="D266" s="1" t="s">
        <v>8</v>
      </c>
      <c r="E266" s="1">
        <v>960</v>
      </c>
      <c r="F266" s="1">
        <v>7</v>
      </c>
      <c r="G266" s="10">
        <v>6720</v>
      </c>
      <c r="H266" s="1">
        <f>Table1[[#This Row],[Price]]*Table1[[#This Row],[Units]]</f>
        <v>6720</v>
      </c>
      <c r="I266" s="1">
        <f>YEAR(Table1[[#This Row],[Date]])</f>
        <v>2022</v>
      </c>
      <c r="J266" t="str">
        <f>TEXT(Table1[[#This Row],[Date]],"MMM")</f>
        <v>Nov</v>
      </c>
      <c r="K266">
        <f>DAY(Table1[[#This Row],[Date]])</f>
        <v>22</v>
      </c>
      <c r="L266" t="str">
        <f>TEXT(Table1[[#This Row],[Date]],"ddd")</f>
        <v>Tue</v>
      </c>
    </row>
    <row r="267" spans="1:12" x14ac:dyDescent="0.3">
      <c r="A267" s="9">
        <v>44891</v>
      </c>
      <c r="B267" s="1" t="s">
        <v>6</v>
      </c>
      <c r="C267" s="1" t="s">
        <v>7</v>
      </c>
      <c r="D267" s="1" t="s">
        <v>13</v>
      </c>
      <c r="E267" s="1">
        <v>1450</v>
      </c>
      <c r="F267" s="1">
        <v>19</v>
      </c>
      <c r="G267" s="10">
        <v>27550</v>
      </c>
      <c r="H267" s="1">
        <f>Table1[[#This Row],[Price]]*Table1[[#This Row],[Units]]</f>
        <v>27550</v>
      </c>
      <c r="I267" s="1">
        <f>YEAR(Table1[[#This Row],[Date]])</f>
        <v>2022</v>
      </c>
      <c r="J267" t="str">
        <f>TEXT(Table1[[#This Row],[Date]],"MMM")</f>
        <v>Nov</v>
      </c>
      <c r="K267">
        <f>DAY(Table1[[#This Row],[Date]])</f>
        <v>26</v>
      </c>
      <c r="L267" t="str">
        <f>TEXT(Table1[[#This Row],[Date]],"ddd")</f>
        <v>Sat</v>
      </c>
    </row>
    <row r="268" spans="1:12" x14ac:dyDescent="0.3">
      <c r="A268" s="9">
        <v>44895</v>
      </c>
      <c r="B268" s="1" t="s">
        <v>22</v>
      </c>
      <c r="C268" s="1" t="s">
        <v>21</v>
      </c>
      <c r="D268" s="1" t="s">
        <v>10</v>
      </c>
      <c r="E268" s="1">
        <v>450</v>
      </c>
      <c r="F268" s="1">
        <v>47</v>
      </c>
      <c r="G268" s="10">
        <v>21150</v>
      </c>
      <c r="H268" s="1">
        <f>Table1[[#This Row],[Price]]*Table1[[#This Row],[Units]]</f>
        <v>21150</v>
      </c>
      <c r="I268" s="1">
        <f>YEAR(Table1[[#This Row],[Date]])</f>
        <v>2022</v>
      </c>
      <c r="J268" t="str">
        <f>TEXT(Table1[[#This Row],[Date]],"MMM")</f>
        <v>Nov</v>
      </c>
      <c r="K268">
        <f>DAY(Table1[[#This Row],[Date]])</f>
        <v>30</v>
      </c>
      <c r="L268" t="str">
        <f>TEXT(Table1[[#This Row],[Date]],"ddd")</f>
        <v>Wed</v>
      </c>
    </row>
    <row r="269" spans="1:12" x14ac:dyDescent="0.3">
      <c r="A269" s="9">
        <v>44899</v>
      </c>
      <c r="B269" s="1" t="s">
        <v>11</v>
      </c>
      <c r="C269" s="1" t="s">
        <v>15</v>
      </c>
      <c r="D269" s="1" t="s">
        <v>10</v>
      </c>
      <c r="E269" s="1">
        <v>1499</v>
      </c>
      <c r="F269" s="1">
        <v>37</v>
      </c>
      <c r="G269" s="10">
        <v>55463</v>
      </c>
      <c r="H269" s="1">
        <f>Table1[[#This Row],[Price]]*Table1[[#This Row],[Units]]</f>
        <v>55463</v>
      </c>
      <c r="I269" s="1">
        <f>YEAR(Table1[[#This Row],[Date]])</f>
        <v>2022</v>
      </c>
      <c r="J269" t="str">
        <f>TEXT(Table1[[#This Row],[Date]],"MMM")</f>
        <v>Dec</v>
      </c>
      <c r="K269">
        <f>DAY(Table1[[#This Row],[Date]])</f>
        <v>4</v>
      </c>
      <c r="L269" t="str">
        <f>TEXT(Table1[[#This Row],[Date]],"ddd")</f>
        <v>Sun</v>
      </c>
    </row>
    <row r="270" spans="1:12" x14ac:dyDescent="0.3">
      <c r="A270" s="9">
        <v>44903</v>
      </c>
      <c r="B270" s="1" t="s">
        <v>18</v>
      </c>
      <c r="C270" s="1" t="s">
        <v>19</v>
      </c>
      <c r="D270" s="1" t="s">
        <v>10</v>
      </c>
      <c r="E270" s="1">
        <v>79999</v>
      </c>
      <c r="F270" s="1">
        <v>4</v>
      </c>
      <c r="G270" s="10">
        <v>319996</v>
      </c>
      <c r="H270" s="1">
        <f>Table1[[#This Row],[Price]]*Table1[[#This Row],[Units]]</f>
        <v>319996</v>
      </c>
      <c r="I270" s="1">
        <f>YEAR(Table1[[#This Row],[Date]])</f>
        <v>2022</v>
      </c>
      <c r="J270" t="str">
        <f>TEXT(Table1[[#This Row],[Date]],"MMM")</f>
        <v>Dec</v>
      </c>
      <c r="K270">
        <f>DAY(Table1[[#This Row],[Date]])</f>
        <v>8</v>
      </c>
      <c r="L270" t="str">
        <f>TEXT(Table1[[#This Row],[Date]],"ddd")</f>
        <v>Thu</v>
      </c>
    </row>
    <row r="271" spans="1:12" x14ac:dyDescent="0.3">
      <c r="A271" s="9">
        <v>44907</v>
      </c>
      <c r="B271" s="1" t="s">
        <v>11</v>
      </c>
      <c r="C271" s="1" t="s">
        <v>16</v>
      </c>
      <c r="D271" s="1" t="s">
        <v>20</v>
      </c>
      <c r="E271" s="1">
        <v>999</v>
      </c>
      <c r="F271" s="1">
        <v>45</v>
      </c>
      <c r="G271" s="10">
        <v>44955</v>
      </c>
      <c r="H271" s="1">
        <f>Table1[[#This Row],[Price]]*Table1[[#This Row],[Units]]</f>
        <v>44955</v>
      </c>
      <c r="I271" s="1">
        <f>YEAR(Table1[[#This Row],[Date]])</f>
        <v>2022</v>
      </c>
      <c r="J271" t="str">
        <f>TEXT(Table1[[#This Row],[Date]],"MMM")</f>
        <v>Dec</v>
      </c>
      <c r="K271">
        <f>DAY(Table1[[#This Row],[Date]])</f>
        <v>12</v>
      </c>
      <c r="L271" t="str">
        <f>TEXT(Table1[[#This Row],[Date]],"ddd")</f>
        <v>Mon</v>
      </c>
    </row>
    <row r="272" spans="1:12" x14ac:dyDescent="0.3">
      <c r="A272" s="9">
        <v>44911</v>
      </c>
      <c r="B272" s="1" t="s">
        <v>18</v>
      </c>
      <c r="C272" s="1" t="s">
        <v>19</v>
      </c>
      <c r="D272" s="1" t="s">
        <v>8</v>
      </c>
      <c r="E272" s="1">
        <v>52000</v>
      </c>
      <c r="F272" s="1">
        <v>15</v>
      </c>
      <c r="G272" s="10">
        <v>780000</v>
      </c>
      <c r="H272" s="1">
        <f>Table1[[#This Row],[Price]]*Table1[[#This Row],[Units]]</f>
        <v>780000</v>
      </c>
      <c r="I272" s="1">
        <f>YEAR(Table1[[#This Row],[Date]])</f>
        <v>2022</v>
      </c>
      <c r="J272" t="str">
        <f>TEXT(Table1[[#This Row],[Date]],"MMM")</f>
        <v>Dec</v>
      </c>
      <c r="K272">
        <f>DAY(Table1[[#This Row],[Date]])</f>
        <v>16</v>
      </c>
      <c r="L272" t="str">
        <f>TEXT(Table1[[#This Row],[Date]],"ddd")</f>
        <v>Fri</v>
      </c>
    </row>
    <row r="273" spans="1:12" x14ac:dyDescent="0.3">
      <c r="A273" s="9">
        <v>44915</v>
      </c>
      <c r="B273" s="1" t="s">
        <v>9</v>
      </c>
      <c r="C273" s="1" t="s">
        <v>19</v>
      </c>
      <c r="D273" s="1" t="s">
        <v>17</v>
      </c>
      <c r="E273" s="1">
        <v>52000</v>
      </c>
      <c r="F273" s="1">
        <v>39</v>
      </c>
      <c r="G273" s="10">
        <v>2028000</v>
      </c>
      <c r="H273" s="1">
        <f>Table1[[#This Row],[Price]]*Table1[[#This Row],[Units]]</f>
        <v>2028000</v>
      </c>
      <c r="I273" s="1">
        <f>YEAR(Table1[[#This Row],[Date]])</f>
        <v>2022</v>
      </c>
      <c r="J273" t="str">
        <f>TEXT(Table1[[#This Row],[Date]],"MMM")</f>
        <v>Dec</v>
      </c>
      <c r="K273">
        <f>DAY(Table1[[#This Row],[Date]])</f>
        <v>20</v>
      </c>
      <c r="L273" t="str">
        <f>TEXT(Table1[[#This Row],[Date]],"ddd")</f>
        <v>Tue</v>
      </c>
    </row>
    <row r="274" spans="1:12" x14ac:dyDescent="0.3">
      <c r="A274" s="9">
        <v>44919</v>
      </c>
      <c r="B274" s="1" t="s">
        <v>11</v>
      </c>
      <c r="C274" s="1" t="s">
        <v>12</v>
      </c>
      <c r="D274" s="1" t="s">
        <v>17</v>
      </c>
      <c r="E274" s="1">
        <v>960</v>
      </c>
      <c r="F274" s="1">
        <v>33</v>
      </c>
      <c r="G274" s="10">
        <v>31680</v>
      </c>
      <c r="H274" s="1">
        <f>Table1[[#This Row],[Price]]*Table1[[#This Row],[Units]]</f>
        <v>31680</v>
      </c>
      <c r="I274" s="1">
        <f>YEAR(Table1[[#This Row],[Date]])</f>
        <v>2022</v>
      </c>
      <c r="J274" t="str">
        <f>TEXT(Table1[[#This Row],[Date]],"MMM")</f>
        <v>Dec</v>
      </c>
      <c r="K274">
        <f>DAY(Table1[[#This Row],[Date]])</f>
        <v>24</v>
      </c>
      <c r="L274" t="str">
        <f>TEXT(Table1[[#This Row],[Date]],"ddd")</f>
        <v>Sat</v>
      </c>
    </row>
    <row r="275" spans="1:12" x14ac:dyDescent="0.3">
      <c r="A275" s="9">
        <v>44923</v>
      </c>
      <c r="B275" s="1" t="s">
        <v>18</v>
      </c>
      <c r="C275" s="1" t="s">
        <v>12</v>
      </c>
      <c r="D275" s="1" t="s">
        <v>13</v>
      </c>
      <c r="E275" s="1">
        <v>1450</v>
      </c>
      <c r="F275" s="1">
        <v>34</v>
      </c>
      <c r="G275" s="10">
        <v>49300</v>
      </c>
      <c r="H275" s="1">
        <f>Table1[[#This Row],[Price]]*Table1[[#This Row],[Units]]</f>
        <v>49300</v>
      </c>
      <c r="I275" s="1">
        <f>YEAR(Table1[[#This Row],[Date]])</f>
        <v>2022</v>
      </c>
      <c r="J275" t="str">
        <f>TEXT(Table1[[#This Row],[Date]],"MMM")</f>
        <v>Dec</v>
      </c>
      <c r="K275">
        <f>DAY(Table1[[#This Row],[Date]])</f>
        <v>28</v>
      </c>
      <c r="L275" t="str">
        <f>TEXT(Table1[[#This Row],[Date]],"ddd")</f>
        <v>Wed</v>
      </c>
    </row>
    <row r="276" spans="1:12" x14ac:dyDescent="0.3">
      <c r="A276" s="9">
        <v>44913</v>
      </c>
      <c r="B276" s="1" t="s">
        <v>22</v>
      </c>
      <c r="C276" s="1" t="s">
        <v>21</v>
      </c>
      <c r="D276" s="1" t="s">
        <v>23</v>
      </c>
      <c r="E276" s="1">
        <v>2500</v>
      </c>
      <c r="F276" s="1">
        <v>100</v>
      </c>
      <c r="G276" s="10">
        <v>250000</v>
      </c>
      <c r="H276" s="1">
        <f>Table1[[#This Row],[Price]]*Table1[[#This Row],[Units]]</f>
        <v>250000</v>
      </c>
      <c r="I276" s="1">
        <f>YEAR(Table1[[#This Row],[Date]])</f>
        <v>2022</v>
      </c>
      <c r="J276" t="str">
        <f>TEXT(Table1[[#This Row],[Date]],"MMM")</f>
        <v>Dec</v>
      </c>
      <c r="K276">
        <f>DAY(Table1[[#This Row],[Date]])</f>
        <v>18</v>
      </c>
      <c r="L276" t="str">
        <f>TEXT(Table1[[#This Row],[Date]],"ddd")</f>
        <v>Sun</v>
      </c>
    </row>
    <row r="277" spans="1:12" x14ac:dyDescent="0.3">
      <c r="A277" s="9">
        <v>44917</v>
      </c>
      <c r="B277" s="1" t="s">
        <v>9</v>
      </c>
      <c r="C277" s="1" t="s">
        <v>15</v>
      </c>
      <c r="D277" s="1" t="s">
        <v>23</v>
      </c>
      <c r="E277" s="1">
        <v>86540</v>
      </c>
      <c r="F277" s="1">
        <v>6</v>
      </c>
      <c r="G277" s="10">
        <v>519240</v>
      </c>
      <c r="H277" s="1">
        <f>Table1[[#This Row],[Price]]*Table1[[#This Row],[Units]]</f>
        <v>519240</v>
      </c>
      <c r="I277" s="1">
        <f>YEAR(Table1[[#This Row],[Date]])</f>
        <v>2022</v>
      </c>
      <c r="J277" t="str">
        <f>TEXT(Table1[[#This Row],[Date]],"MMM")</f>
        <v>Dec</v>
      </c>
      <c r="K277">
        <f>DAY(Table1[[#This Row],[Date]])</f>
        <v>22</v>
      </c>
      <c r="L277" t="str">
        <f>TEXT(Table1[[#This Row],[Date]],"ddd")</f>
        <v>Thu</v>
      </c>
    </row>
    <row r="278" spans="1:12" x14ac:dyDescent="0.3">
      <c r="A278" s="9">
        <v>44922</v>
      </c>
      <c r="B278" s="1" t="s">
        <v>14</v>
      </c>
      <c r="C278" s="1" t="s">
        <v>16</v>
      </c>
      <c r="D278" s="1" t="s">
        <v>23</v>
      </c>
      <c r="E278" s="1">
        <v>550</v>
      </c>
      <c r="F278" s="1">
        <v>44</v>
      </c>
      <c r="G278" s="10">
        <v>24200</v>
      </c>
      <c r="H278" s="1">
        <f>Table1[[#This Row],[Price]]*Table1[[#This Row],[Units]]</f>
        <v>24200</v>
      </c>
      <c r="I278" s="1">
        <f>YEAR(Table1[[#This Row],[Date]])</f>
        <v>2022</v>
      </c>
      <c r="J278" t="str">
        <f>TEXT(Table1[[#This Row],[Date]],"MMM")</f>
        <v>Dec</v>
      </c>
      <c r="K278">
        <f>DAY(Table1[[#This Row],[Date]])</f>
        <v>27</v>
      </c>
      <c r="L278" t="str">
        <f>TEXT(Table1[[#This Row],[Date]],"ddd")</f>
        <v>Tue</v>
      </c>
    </row>
    <row r="279" spans="1:12" x14ac:dyDescent="0.3">
      <c r="A279" s="14">
        <v>44925</v>
      </c>
      <c r="B279" s="15" t="s">
        <v>11</v>
      </c>
      <c r="C279" s="15" t="s">
        <v>19</v>
      </c>
      <c r="D279" s="15" t="s">
        <v>23</v>
      </c>
      <c r="E279" s="15">
        <v>65400</v>
      </c>
      <c r="F279" s="15">
        <v>19</v>
      </c>
      <c r="G279" s="16">
        <v>1242600</v>
      </c>
      <c r="H279" s="15">
        <f>Table1[[#This Row],[Price]]*Table1[[#This Row],[Units]]</f>
        <v>1242600</v>
      </c>
      <c r="I279" s="15">
        <f>YEAR(Table1[[#This Row],[Date]])</f>
        <v>2022</v>
      </c>
      <c r="J279" t="str">
        <f>TEXT(Table1[[#This Row],[Date]],"MMM")</f>
        <v>Dec</v>
      </c>
      <c r="K279">
        <f>DAY(Table1[[#This Row],[Date]])</f>
        <v>30</v>
      </c>
      <c r="L279" t="str">
        <f>TEXT(Table1[[#This Row],[Date]],"ddd")</f>
        <v>Fri</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1032B-F70A-4701-8E6A-3AAF0F0952E9}">
  <dimension ref="A3:B10"/>
  <sheetViews>
    <sheetView workbookViewId="0">
      <selection activeCell="P14" sqref="P14"/>
    </sheetView>
  </sheetViews>
  <sheetFormatPr defaultRowHeight="14.4" x14ac:dyDescent="0.3"/>
  <cols>
    <col min="1" max="1" width="12.5546875" bestFit="1" customWidth="1"/>
    <col min="2" max="2" width="11.6640625" bestFit="1" customWidth="1"/>
  </cols>
  <sheetData>
    <row r="3" spans="1:2" x14ac:dyDescent="0.3">
      <c r="A3" s="6" t="s">
        <v>25</v>
      </c>
      <c r="B3" t="s">
        <v>27</v>
      </c>
    </row>
    <row r="4" spans="1:2" x14ac:dyDescent="0.3">
      <c r="A4" s="7" t="s">
        <v>18</v>
      </c>
      <c r="B4" s="8">
        <v>40881900</v>
      </c>
    </row>
    <row r="5" spans="1:2" x14ac:dyDescent="0.3">
      <c r="A5" s="7" t="s">
        <v>11</v>
      </c>
      <c r="B5" s="8">
        <v>26744959</v>
      </c>
    </row>
    <row r="6" spans="1:2" x14ac:dyDescent="0.3">
      <c r="A6" s="7" t="s">
        <v>9</v>
      </c>
      <c r="B6" s="8">
        <v>22262435</v>
      </c>
    </row>
    <row r="7" spans="1:2" x14ac:dyDescent="0.3">
      <c r="A7" s="7" t="s">
        <v>14</v>
      </c>
      <c r="B7" s="8">
        <v>15265496</v>
      </c>
    </row>
    <row r="8" spans="1:2" x14ac:dyDescent="0.3">
      <c r="A8" s="7" t="s">
        <v>22</v>
      </c>
      <c r="B8" s="8">
        <v>4172743</v>
      </c>
    </row>
    <row r="9" spans="1:2" x14ac:dyDescent="0.3">
      <c r="A9" s="7" t="s">
        <v>6</v>
      </c>
      <c r="B9" s="8">
        <v>9404360</v>
      </c>
    </row>
    <row r="10" spans="1:2" x14ac:dyDescent="0.3">
      <c r="A10" s="7" t="s">
        <v>26</v>
      </c>
      <c r="B10" s="8">
        <v>118731893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0B480-88FD-4DA3-9AAD-C6378FA4FC02}">
  <dimension ref="A1:G279"/>
  <sheetViews>
    <sheetView workbookViewId="0">
      <selection sqref="A1:G279"/>
    </sheetView>
  </sheetViews>
  <sheetFormatPr defaultRowHeight="14.4" x14ac:dyDescent="0.3"/>
  <cols>
    <col min="1" max="1" width="10.109375" style="3" bestFit="1" customWidth="1"/>
  </cols>
  <sheetData>
    <row r="1" spans="1:7" x14ac:dyDescent="0.3">
      <c r="A1" s="4" t="s">
        <v>0</v>
      </c>
      <c r="B1" s="5" t="s">
        <v>1</v>
      </c>
      <c r="C1" s="5" t="s">
        <v>2</v>
      </c>
      <c r="D1" s="5" t="s">
        <v>3</v>
      </c>
      <c r="E1" s="5" t="s">
        <v>4</v>
      </c>
      <c r="F1" s="5" t="s">
        <v>5</v>
      </c>
      <c r="G1" s="5" t="s">
        <v>24</v>
      </c>
    </row>
    <row r="2" spans="1:7" x14ac:dyDescent="0.3">
      <c r="A2" s="2">
        <v>43831</v>
      </c>
      <c r="B2" s="1" t="s">
        <v>6</v>
      </c>
      <c r="C2" s="1" t="s">
        <v>7</v>
      </c>
      <c r="D2" s="1" t="s">
        <v>8</v>
      </c>
      <c r="E2" s="1">
        <v>499</v>
      </c>
      <c r="F2" s="1">
        <v>50</v>
      </c>
      <c r="G2" s="1">
        <v>24950</v>
      </c>
    </row>
    <row r="3" spans="1:7" x14ac:dyDescent="0.3">
      <c r="A3" s="2">
        <v>43835</v>
      </c>
      <c r="B3" s="1" t="s">
        <v>9</v>
      </c>
      <c r="C3" s="1" t="s">
        <v>7</v>
      </c>
      <c r="D3" s="1" t="s">
        <v>10</v>
      </c>
      <c r="E3" s="1">
        <v>5599</v>
      </c>
      <c r="F3" s="1">
        <v>33</v>
      </c>
      <c r="G3" s="1">
        <v>184767</v>
      </c>
    </row>
    <row r="4" spans="1:7" x14ac:dyDescent="0.3">
      <c r="A4" s="2">
        <v>43839</v>
      </c>
      <c r="B4" s="1" t="s">
        <v>11</v>
      </c>
      <c r="C4" s="1" t="s">
        <v>12</v>
      </c>
      <c r="D4" s="1" t="s">
        <v>13</v>
      </c>
      <c r="E4" s="1">
        <v>1450</v>
      </c>
      <c r="F4" s="1">
        <v>44</v>
      </c>
      <c r="G4" s="1">
        <v>63800</v>
      </c>
    </row>
    <row r="5" spans="1:7" x14ac:dyDescent="0.3">
      <c r="A5" s="2">
        <v>43843</v>
      </c>
      <c r="B5" s="1" t="s">
        <v>14</v>
      </c>
      <c r="C5" s="1" t="s">
        <v>15</v>
      </c>
      <c r="D5" s="1" t="s">
        <v>8</v>
      </c>
      <c r="E5" s="1">
        <v>85000</v>
      </c>
      <c r="F5" s="1">
        <v>50</v>
      </c>
      <c r="G5" s="1">
        <v>4250000</v>
      </c>
    </row>
    <row r="6" spans="1:7" x14ac:dyDescent="0.3">
      <c r="A6" s="2">
        <v>43847</v>
      </c>
      <c r="B6" s="1" t="s">
        <v>14</v>
      </c>
      <c r="C6" s="1" t="s">
        <v>16</v>
      </c>
      <c r="D6" s="1" t="s">
        <v>17</v>
      </c>
      <c r="E6" s="1">
        <v>15000</v>
      </c>
      <c r="F6" s="1">
        <v>11</v>
      </c>
      <c r="G6" s="1">
        <v>165000</v>
      </c>
    </row>
    <row r="7" spans="1:7" x14ac:dyDescent="0.3">
      <c r="A7" s="2">
        <v>43851</v>
      </c>
      <c r="B7" s="1" t="s">
        <v>9</v>
      </c>
      <c r="C7" s="1" t="s">
        <v>7</v>
      </c>
      <c r="D7" s="1" t="s">
        <v>17</v>
      </c>
      <c r="E7" s="1">
        <v>2550</v>
      </c>
      <c r="F7" s="1">
        <v>48</v>
      </c>
      <c r="G7" s="1">
        <v>122400</v>
      </c>
    </row>
    <row r="8" spans="1:7" x14ac:dyDescent="0.3">
      <c r="A8" s="2">
        <v>43855</v>
      </c>
      <c r="B8" s="1" t="s">
        <v>18</v>
      </c>
      <c r="C8" s="1" t="s">
        <v>19</v>
      </c>
      <c r="D8" s="1" t="s">
        <v>13</v>
      </c>
      <c r="E8" s="1">
        <v>33000</v>
      </c>
      <c r="F8" s="1">
        <v>26</v>
      </c>
      <c r="G8" s="1">
        <v>858000</v>
      </c>
    </row>
    <row r="9" spans="1:7" x14ac:dyDescent="0.3">
      <c r="A9" s="2">
        <v>43859</v>
      </c>
      <c r="B9" s="1" t="s">
        <v>6</v>
      </c>
      <c r="C9" s="1" t="s">
        <v>15</v>
      </c>
      <c r="D9" s="1" t="s">
        <v>20</v>
      </c>
      <c r="E9" s="1">
        <v>86000</v>
      </c>
      <c r="F9" s="1">
        <v>39</v>
      </c>
      <c r="G9" s="1">
        <v>3354000</v>
      </c>
    </row>
    <row r="10" spans="1:7" x14ac:dyDescent="0.3">
      <c r="A10" s="2">
        <v>43863</v>
      </c>
      <c r="B10" s="1" t="s">
        <v>11</v>
      </c>
      <c r="C10" s="1" t="s">
        <v>21</v>
      </c>
      <c r="D10" s="1" t="s">
        <v>17</v>
      </c>
      <c r="E10" s="1">
        <v>990</v>
      </c>
      <c r="F10" s="1">
        <v>9</v>
      </c>
      <c r="G10" s="1">
        <v>8910</v>
      </c>
    </row>
    <row r="11" spans="1:7" x14ac:dyDescent="0.3">
      <c r="A11" s="2">
        <v>43867</v>
      </c>
      <c r="B11" s="1" t="s">
        <v>6</v>
      </c>
      <c r="C11" s="1" t="s">
        <v>7</v>
      </c>
      <c r="D11" s="1" t="s">
        <v>8</v>
      </c>
      <c r="E11" s="1">
        <v>5599</v>
      </c>
      <c r="F11" s="1">
        <v>41</v>
      </c>
      <c r="G11" s="1">
        <v>229559</v>
      </c>
    </row>
    <row r="12" spans="1:7" x14ac:dyDescent="0.3">
      <c r="A12" s="2">
        <v>43871</v>
      </c>
      <c r="B12" s="1" t="s">
        <v>18</v>
      </c>
      <c r="C12" s="1" t="s">
        <v>19</v>
      </c>
      <c r="D12" s="1" t="s">
        <v>13</v>
      </c>
      <c r="E12" s="1">
        <v>499</v>
      </c>
      <c r="F12" s="1">
        <v>39</v>
      </c>
      <c r="G12" s="1">
        <v>19461</v>
      </c>
    </row>
    <row r="13" spans="1:7" x14ac:dyDescent="0.3">
      <c r="A13" s="2">
        <v>43875</v>
      </c>
      <c r="B13" s="1" t="s">
        <v>9</v>
      </c>
      <c r="C13" s="1" t="s">
        <v>21</v>
      </c>
      <c r="D13" s="1" t="s">
        <v>8</v>
      </c>
      <c r="E13" s="1">
        <v>1999</v>
      </c>
      <c r="F13" s="1">
        <v>4</v>
      </c>
      <c r="G13" s="1">
        <v>7996</v>
      </c>
    </row>
    <row r="14" spans="1:7" x14ac:dyDescent="0.3">
      <c r="A14" s="2">
        <v>43879</v>
      </c>
      <c r="B14" s="1" t="s">
        <v>14</v>
      </c>
      <c r="C14" s="1" t="s">
        <v>15</v>
      </c>
      <c r="D14" s="1" t="s">
        <v>8</v>
      </c>
      <c r="E14" s="1">
        <v>63400</v>
      </c>
      <c r="F14" s="1">
        <v>8</v>
      </c>
      <c r="G14" s="1">
        <v>507200</v>
      </c>
    </row>
    <row r="15" spans="1:7" x14ac:dyDescent="0.3">
      <c r="A15" s="2">
        <v>43883</v>
      </c>
      <c r="B15" s="1" t="s">
        <v>22</v>
      </c>
      <c r="C15" s="1" t="s">
        <v>21</v>
      </c>
      <c r="D15" s="1" t="s">
        <v>17</v>
      </c>
      <c r="E15" s="1">
        <v>1499</v>
      </c>
      <c r="F15" s="1">
        <v>27</v>
      </c>
      <c r="G15" s="1">
        <v>40473</v>
      </c>
    </row>
    <row r="16" spans="1:7" x14ac:dyDescent="0.3">
      <c r="A16" s="2">
        <v>43887</v>
      </c>
      <c r="B16" s="1" t="s">
        <v>14</v>
      </c>
      <c r="C16" s="1" t="s">
        <v>16</v>
      </c>
      <c r="D16" s="1" t="s">
        <v>13</v>
      </c>
      <c r="E16" s="1">
        <v>120</v>
      </c>
      <c r="F16" s="1">
        <v>10</v>
      </c>
      <c r="G16" s="1">
        <v>1200</v>
      </c>
    </row>
    <row r="17" spans="1:7" x14ac:dyDescent="0.3">
      <c r="A17" s="2">
        <v>43891</v>
      </c>
      <c r="B17" s="1" t="s">
        <v>9</v>
      </c>
      <c r="C17" s="1" t="s">
        <v>19</v>
      </c>
      <c r="D17" s="1" t="s">
        <v>20</v>
      </c>
      <c r="E17" s="1">
        <v>11999</v>
      </c>
      <c r="F17" s="1">
        <v>17</v>
      </c>
      <c r="G17" s="1">
        <v>203983</v>
      </c>
    </row>
    <row r="18" spans="1:7" x14ac:dyDescent="0.3">
      <c r="A18" s="2">
        <v>43895</v>
      </c>
      <c r="B18" s="1" t="s">
        <v>11</v>
      </c>
      <c r="C18" s="1" t="s">
        <v>15</v>
      </c>
      <c r="D18" s="1" t="s">
        <v>10</v>
      </c>
      <c r="E18" s="1">
        <v>47500</v>
      </c>
      <c r="F18" s="1">
        <v>27</v>
      </c>
      <c r="G18" s="1">
        <v>1282500</v>
      </c>
    </row>
    <row r="19" spans="1:7" x14ac:dyDescent="0.3">
      <c r="A19" s="2">
        <v>43899</v>
      </c>
      <c r="B19" s="1" t="s">
        <v>18</v>
      </c>
      <c r="C19" s="1" t="s">
        <v>19</v>
      </c>
      <c r="D19" s="1" t="s">
        <v>10</v>
      </c>
      <c r="E19" s="1">
        <v>2999</v>
      </c>
      <c r="F19" s="1">
        <v>43</v>
      </c>
      <c r="G19" s="1">
        <v>128957</v>
      </c>
    </row>
    <row r="20" spans="1:7" x14ac:dyDescent="0.3">
      <c r="A20" s="2">
        <v>43903</v>
      </c>
      <c r="B20" s="1" t="s">
        <v>14</v>
      </c>
      <c r="C20" s="1" t="s">
        <v>16</v>
      </c>
      <c r="D20" s="1" t="s">
        <v>10</v>
      </c>
      <c r="E20" s="1">
        <v>8900</v>
      </c>
      <c r="F20" s="1">
        <v>9</v>
      </c>
      <c r="G20" s="1">
        <v>80100</v>
      </c>
    </row>
    <row r="21" spans="1:7" x14ac:dyDescent="0.3">
      <c r="A21" s="2">
        <v>43907</v>
      </c>
      <c r="B21" s="1" t="s">
        <v>9</v>
      </c>
      <c r="C21" s="1" t="s">
        <v>19</v>
      </c>
      <c r="D21" s="1" t="s">
        <v>8</v>
      </c>
      <c r="E21" s="1">
        <v>22000</v>
      </c>
      <c r="F21" s="1">
        <v>42</v>
      </c>
      <c r="G21" s="1">
        <v>924000</v>
      </c>
    </row>
    <row r="22" spans="1:7" x14ac:dyDescent="0.3">
      <c r="A22" s="2">
        <v>43911</v>
      </c>
      <c r="B22" s="1" t="s">
        <v>11</v>
      </c>
      <c r="C22" s="1" t="s">
        <v>12</v>
      </c>
      <c r="D22" s="1" t="s">
        <v>10</v>
      </c>
      <c r="E22" s="1">
        <v>1250</v>
      </c>
      <c r="F22" s="1">
        <v>6</v>
      </c>
      <c r="G22" s="1">
        <v>7500</v>
      </c>
    </row>
    <row r="23" spans="1:7" x14ac:dyDescent="0.3">
      <c r="A23" s="2">
        <v>43915</v>
      </c>
      <c r="B23" s="1" t="s">
        <v>14</v>
      </c>
      <c r="C23" s="1" t="s">
        <v>16</v>
      </c>
      <c r="D23" s="1" t="s">
        <v>17</v>
      </c>
      <c r="E23" s="1">
        <v>999</v>
      </c>
      <c r="F23" s="1">
        <v>28</v>
      </c>
      <c r="G23" s="1">
        <v>27972</v>
      </c>
    </row>
    <row r="24" spans="1:7" x14ac:dyDescent="0.3">
      <c r="A24" s="2">
        <v>43919</v>
      </c>
      <c r="B24" s="1" t="s">
        <v>18</v>
      </c>
      <c r="C24" s="1" t="s">
        <v>12</v>
      </c>
      <c r="D24" s="1" t="s">
        <v>20</v>
      </c>
      <c r="E24" s="1">
        <v>1450</v>
      </c>
      <c r="F24" s="1">
        <v>13</v>
      </c>
      <c r="G24" s="1">
        <v>18850</v>
      </c>
    </row>
    <row r="25" spans="1:7" x14ac:dyDescent="0.3">
      <c r="A25" s="2">
        <v>43923</v>
      </c>
      <c r="B25" s="1" t="s">
        <v>18</v>
      </c>
      <c r="C25" s="1" t="s">
        <v>12</v>
      </c>
      <c r="D25" s="1" t="s">
        <v>13</v>
      </c>
      <c r="E25" s="1">
        <v>23999</v>
      </c>
      <c r="F25" s="1">
        <v>8</v>
      </c>
      <c r="G25" s="1">
        <v>191992</v>
      </c>
    </row>
    <row r="26" spans="1:7" x14ac:dyDescent="0.3">
      <c r="A26" s="2">
        <v>43927</v>
      </c>
      <c r="B26" s="1" t="s">
        <v>9</v>
      </c>
      <c r="C26" s="1" t="s">
        <v>15</v>
      </c>
      <c r="D26" s="1" t="s">
        <v>20</v>
      </c>
      <c r="E26" s="1">
        <v>65200</v>
      </c>
      <c r="F26" s="1">
        <v>7</v>
      </c>
      <c r="G26" s="1">
        <v>456400</v>
      </c>
    </row>
    <row r="27" spans="1:7" x14ac:dyDescent="0.3">
      <c r="A27" s="2">
        <v>43931</v>
      </c>
      <c r="B27" s="1" t="s">
        <v>9</v>
      </c>
      <c r="C27" s="1" t="s">
        <v>21</v>
      </c>
      <c r="D27" s="1" t="s">
        <v>10</v>
      </c>
      <c r="E27" s="1">
        <v>699</v>
      </c>
      <c r="F27" s="1">
        <v>45</v>
      </c>
      <c r="G27" s="1">
        <v>31455</v>
      </c>
    </row>
    <row r="28" spans="1:7" x14ac:dyDescent="0.3">
      <c r="A28" s="2">
        <v>43935</v>
      </c>
      <c r="B28" s="1" t="s">
        <v>6</v>
      </c>
      <c r="C28" s="1" t="s">
        <v>7</v>
      </c>
      <c r="D28" s="1" t="s">
        <v>8</v>
      </c>
      <c r="E28" s="1">
        <v>2550</v>
      </c>
      <c r="F28" s="1">
        <v>22</v>
      </c>
      <c r="G28" s="1">
        <v>56100</v>
      </c>
    </row>
    <row r="29" spans="1:7" x14ac:dyDescent="0.3">
      <c r="A29" s="2">
        <v>43939</v>
      </c>
      <c r="B29" s="1" t="s">
        <v>11</v>
      </c>
      <c r="C29" s="1" t="s">
        <v>19</v>
      </c>
      <c r="D29" s="1" t="s">
        <v>20</v>
      </c>
      <c r="E29" s="1">
        <v>22000</v>
      </c>
      <c r="F29" s="1">
        <v>4</v>
      </c>
      <c r="G29" s="1">
        <v>88000</v>
      </c>
    </row>
    <row r="30" spans="1:7" x14ac:dyDescent="0.3">
      <c r="A30" s="2">
        <v>43943</v>
      </c>
      <c r="B30" s="1" t="s">
        <v>18</v>
      </c>
      <c r="C30" s="1" t="s">
        <v>15</v>
      </c>
      <c r="D30" s="1" t="s">
        <v>8</v>
      </c>
      <c r="E30" s="1">
        <v>22000</v>
      </c>
      <c r="F30" s="1">
        <v>10</v>
      </c>
      <c r="G30" s="1">
        <v>220000</v>
      </c>
    </row>
    <row r="31" spans="1:7" x14ac:dyDescent="0.3">
      <c r="A31" s="2">
        <v>43947</v>
      </c>
      <c r="B31" s="1" t="s">
        <v>22</v>
      </c>
      <c r="C31" s="1" t="s">
        <v>21</v>
      </c>
      <c r="D31" s="1" t="s">
        <v>17</v>
      </c>
      <c r="E31" s="1">
        <v>1499</v>
      </c>
      <c r="F31" s="1">
        <v>16</v>
      </c>
      <c r="G31" s="1">
        <v>23984</v>
      </c>
    </row>
    <row r="32" spans="1:7" x14ac:dyDescent="0.3">
      <c r="A32" s="2">
        <v>43951</v>
      </c>
      <c r="B32" s="1" t="s">
        <v>9</v>
      </c>
      <c r="C32" s="1" t="s">
        <v>16</v>
      </c>
      <c r="D32" s="1" t="s">
        <v>20</v>
      </c>
      <c r="E32" s="1">
        <v>120</v>
      </c>
      <c r="F32" s="1">
        <v>22</v>
      </c>
      <c r="G32" s="1">
        <v>2640</v>
      </c>
    </row>
    <row r="33" spans="1:7" x14ac:dyDescent="0.3">
      <c r="A33" s="2">
        <v>43955</v>
      </c>
      <c r="B33" s="1" t="s">
        <v>6</v>
      </c>
      <c r="C33" s="1" t="s">
        <v>7</v>
      </c>
      <c r="D33" s="1" t="s">
        <v>13</v>
      </c>
      <c r="E33" s="1">
        <v>1450</v>
      </c>
      <c r="F33" s="1">
        <v>20</v>
      </c>
      <c r="G33" s="1">
        <v>29000</v>
      </c>
    </row>
    <row r="34" spans="1:7" x14ac:dyDescent="0.3">
      <c r="A34" s="2">
        <v>43959</v>
      </c>
      <c r="B34" s="1" t="s">
        <v>22</v>
      </c>
      <c r="C34" s="1" t="s">
        <v>21</v>
      </c>
      <c r="D34" s="1" t="s">
        <v>17</v>
      </c>
      <c r="E34" s="1">
        <v>1999</v>
      </c>
      <c r="F34" s="1">
        <v>23</v>
      </c>
      <c r="G34" s="1">
        <v>45977</v>
      </c>
    </row>
    <row r="35" spans="1:7" x14ac:dyDescent="0.3">
      <c r="A35" s="2">
        <v>43963</v>
      </c>
      <c r="B35" s="1" t="s">
        <v>9</v>
      </c>
      <c r="C35" s="1" t="s">
        <v>7</v>
      </c>
      <c r="D35" s="1" t="s">
        <v>8</v>
      </c>
      <c r="E35" s="1">
        <v>800</v>
      </c>
      <c r="F35" s="1">
        <v>43</v>
      </c>
      <c r="G35" s="1">
        <v>34400</v>
      </c>
    </row>
    <row r="36" spans="1:7" x14ac:dyDescent="0.3">
      <c r="A36" s="2">
        <v>43967</v>
      </c>
      <c r="B36" s="1" t="s">
        <v>11</v>
      </c>
      <c r="C36" s="1" t="s">
        <v>16</v>
      </c>
      <c r="D36" s="1" t="s">
        <v>17</v>
      </c>
      <c r="E36" s="1">
        <v>18000</v>
      </c>
      <c r="F36" s="1">
        <v>41</v>
      </c>
      <c r="G36" s="1">
        <v>738000</v>
      </c>
    </row>
    <row r="37" spans="1:7" x14ac:dyDescent="0.3">
      <c r="A37" s="2">
        <v>43971</v>
      </c>
      <c r="B37" s="1" t="s">
        <v>6</v>
      </c>
      <c r="C37" s="1" t="s">
        <v>7</v>
      </c>
      <c r="D37" s="1" t="s">
        <v>10</v>
      </c>
      <c r="E37" s="1">
        <v>13999</v>
      </c>
      <c r="F37" s="1">
        <v>37</v>
      </c>
      <c r="G37" s="1">
        <v>517963</v>
      </c>
    </row>
    <row r="38" spans="1:7" x14ac:dyDescent="0.3">
      <c r="A38" s="2">
        <v>43975</v>
      </c>
      <c r="B38" s="1" t="s">
        <v>9</v>
      </c>
      <c r="C38" s="1" t="s">
        <v>19</v>
      </c>
      <c r="D38" s="1" t="s">
        <v>17</v>
      </c>
      <c r="E38" s="1">
        <v>22000</v>
      </c>
      <c r="F38" s="1">
        <v>45</v>
      </c>
      <c r="G38" s="1">
        <v>990000</v>
      </c>
    </row>
    <row r="39" spans="1:7" x14ac:dyDescent="0.3">
      <c r="A39" s="2">
        <v>43979</v>
      </c>
      <c r="B39" s="1" t="s">
        <v>18</v>
      </c>
      <c r="C39" s="1" t="s">
        <v>15</v>
      </c>
      <c r="D39" s="1" t="s">
        <v>8</v>
      </c>
      <c r="E39" s="1">
        <v>89999</v>
      </c>
      <c r="F39" s="1">
        <v>15</v>
      </c>
      <c r="G39" s="1">
        <v>1349985</v>
      </c>
    </row>
    <row r="40" spans="1:7" x14ac:dyDescent="0.3">
      <c r="A40" s="2">
        <v>43983</v>
      </c>
      <c r="B40" s="1" t="s">
        <v>6</v>
      </c>
      <c r="C40" s="1" t="s">
        <v>7</v>
      </c>
      <c r="D40" s="1" t="s">
        <v>13</v>
      </c>
      <c r="E40" s="1">
        <v>13999</v>
      </c>
      <c r="F40" s="1">
        <v>22</v>
      </c>
      <c r="G40" s="1">
        <v>307978</v>
      </c>
    </row>
    <row r="41" spans="1:7" x14ac:dyDescent="0.3">
      <c r="A41" s="2">
        <v>43987</v>
      </c>
      <c r="B41" s="1" t="s">
        <v>11</v>
      </c>
      <c r="C41" s="1" t="s">
        <v>21</v>
      </c>
      <c r="D41" s="1" t="s">
        <v>10</v>
      </c>
      <c r="E41" s="1">
        <v>2900</v>
      </c>
      <c r="F41" s="1">
        <v>20</v>
      </c>
      <c r="G41" s="1">
        <v>58000</v>
      </c>
    </row>
    <row r="42" spans="1:7" x14ac:dyDescent="0.3">
      <c r="A42" s="2">
        <v>43991</v>
      </c>
      <c r="B42" s="1" t="s">
        <v>9</v>
      </c>
      <c r="C42" s="1" t="s">
        <v>19</v>
      </c>
      <c r="D42" s="1" t="s">
        <v>17</v>
      </c>
      <c r="E42" s="1">
        <v>33000</v>
      </c>
      <c r="F42" s="1">
        <v>16</v>
      </c>
      <c r="G42" s="1">
        <v>528000</v>
      </c>
    </row>
    <row r="43" spans="1:7" x14ac:dyDescent="0.3">
      <c r="A43" s="2">
        <v>43995</v>
      </c>
      <c r="B43" s="1" t="s">
        <v>11</v>
      </c>
      <c r="C43" s="1" t="s">
        <v>19</v>
      </c>
      <c r="D43" s="1" t="s">
        <v>10</v>
      </c>
      <c r="E43" s="1">
        <v>22000</v>
      </c>
      <c r="F43" s="1">
        <v>17</v>
      </c>
      <c r="G43" s="1">
        <v>374000</v>
      </c>
    </row>
    <row r="44" spans="1:7" x14ac:dyDescent="0.3">
      <c r="A44" s="2">
        <v>43999</v>
      </c>
      <c r="B44" s="1" t="s">
        <v>22</v>
      </c>
      <c r="C44" s="1" t="s">
        <v>21</v>
      </c>
      <c r="D44" s="1" t="s">
        <v>10</v>
      </c>
      <c r="E44" s="1">
        <v>699</v>
      </c>
      <c r="F44" s="1">
        <v>50</v>
      </c>
      <c r="G44" s="1">
        <v>34950</v>
      </c>
    </row>
    <row r="45" spans="1:7" x14ac:dyDescent="0.3">
      <c r="A45" s="2">
        <v>44003</v>
      </c>
      <c r="B45" s="1" t="s">
        <v>18</v>
      </c>
      <c r="C45" s="1" t="s">
        <v>19</v>
      </c>
      <c r="D45" s="1" t="s">
        <v>13</v>
      </c>
      <c r="E45" s="1">
        <v>499</v>
      </c>
      <c r="F45" s="1">
        <v>4</v>
      </c>
      <c r="G45" s="1">
        <v>1996</v>
      </c>
    </row>
    <row r="46" spans="1:7" x14ac:dyDescent="0.3">
      <c r="A46" s="2">
        <v>44007</v>
      </c>
      <c r="B46" s="1" t="s">
        <v>9</v>
      </c>
      <c r="C46" s="1" t="s">
        <v>21</v>
      </c>
      <c r="D46" s="1" t="s">
        <v>17</v>
      </c>
      <c r="E46" s="1">
        <v>590</v>
      </c>
      <c r="F46" s="1">
        <v>43</v>
      </c>
      <c r="G46" s="1">
        <v>25370</v>
      </c>
    </row>
    <row r="47" spans="1:7" x14ac:dyDescent="0.3">
      <c r="A47" s="2">
        <v>44011</v>
      </c>
      <c r="B47" s="1" t="s">
        <v>22</v>
      </c>
      <c r="C47" s="1" t="s">
        <v>21</v>
      </c>
      <c r="D47" s="1" t="s">
        <v>10</v>
      </c>
      <c r="E47" s="1">
        <v>590</v>
      </c>
      <c r="F47" s="1">
        <v>42</v>
      </c>
      <c r="G47" s="1">
        <v>24780</v>
      </c>
    </row>
    <row r="48" spans="1:7" x14ac:dyDescent="0.3">
      <c r="A48" s="2">
        <v>44015</v>
      </c>
      <c r="B48" s="1" t="s">
        <v>9</v>
      </c>
      <c r="C48" s="1" t="s">
        <v>15</v>
      </c>
      <c r="D48" s="1" t="s">
        <v>8</v>
      </c>
      <c r="E48" s="1">
        <v>120</v>
      </c>
      <c r="F48" s="1">
        <v>9</v>
      </c>
      <c r="G48" s="1">
        <v>1080</v>
      </c>
    </row>
    <row r="49" spans="1:7" x14ac:dyDescent="0.3">
      <c r="A49" s="2">
        <v>44019</v>
      </c>
      <c r="B49" s="1" t="s">
        <v>18</v>
      </c>
      <c r="C49" s="1" t="s">
        <v>19</v>
      </c>
      <c r="D49" s="1" t="s">
        <v>20</v>
      </c>
      <c r="E49" s="1">
        <v>52000</v>
      </c>
      <c r="F49" s="1">
        <v>40</v>
      </c>
      <c r="G49" s="1">
        <v>2080000</v>
      </c>
    </row>
    <row r="50" spans="1:7" x14ac:dyDescent="0.3">
      <c r="A50" s="2">
        <v>44023</v>
      </c>
      <c r="B50" s="1" t="s">
        <v>11</v>
      </c>
      <c r="C50" s="1" t="s">
        <v>12</v>
      </c>
      <c r="D50" s="1" t="s">
        <v>17</v>
      </c>
      <c r="E50" s="1">
        <v>7999</v>
      </c>
      <c r="F50" s="1">
        <v>14</v>
      </c>
      <c r="G50" s="1">
        <v>111986</v>
      </c>
    </row>
    <row r="51" spans="1:7" x14ac:dyDescent="0.3">
      <c r="A51" s="2">
        <v>44027</v>
      </c>
      <c r="B51" s="1" t="s">
        <v>9</v>
      </c>
      <c r="C51" s="1" t="s">
        <v>12</v>
      </c>
      <c r="D51" s="1" t="s">
        <v>20</v>
      </c>
      <c r="E51" s="1">
        <v>550</v>
      </c>
      <c r="F51" s="1">
        <v>9</v>
      </c>
      <c r="G51" s="1">
        <v>4950</v>
      </c>
    </row>
    <row r="52" spans="1:7" x14ac:dyDescent="0.3">
      <c r="A52" s="2">
        <v>44031</v>
      </c>
      <c r="B52" s="1" t="s">
        <v>11</v>
      </c>
      <c r="C52" s="1" t="s">
        <v>15</v>
      </c>
      <c r="D52" s="1" t="s">
        <v>17</v>
      </c>
      <c r="E52" s="1">
        <v>79999</v>
      </c>
      <c r="F52" s="1">
        <v>10</v>
      </c>
      <c r="G52" s="1">
        <v>799990</v>
      </c>
    </row>
    <row r="53" spans="1:7" x14ac:dyDescent="0.3">
      <c r="A53" s="2">
        <v>44035</v>
      </c>
      <c r="B53" s="1" t="s">
        <v>22</v>
      </c>
      <c r="C53" s="1" t="s">
        <v>21</v>
      </c>
      <c r="D53" s="1" t="s">
        <v>17</v>
      </c>
      <c r="E53" s="1">
        <v>1999</v>
      </c>
      <c r="F53" s="1">
        <v>37</v>
      </c>
      <c r="G53" s="1">
        <v>73963</v>
      </c>
    </row>
    <row r="54" spans="1:7" x14ac:dyDescent="0.3">
      <c r="A54" s="2">
        <v>44039</v>
      </c>
      <c r="B54" s="1" t="s">
        <v>18</v>
      </c>
      <c r="C54" s="1" t="s">
        <v>19</v>
      </c>
      <c r="D54" s="1" t="s">
        <v>13</v>
      </c>
      <c r="E54" s="1">
        <v>89999</v>
      </c>
      <c r="F54" s="1">
        <v>29</v>
      </c>
      <c r="G54" s="1">
        <v>2609971</v>
      </c>
    </row>
    <row r="55" spans="1:7" x14ac:dyDescent="0.3">
      <c r="A55" s="2">
        <v>44043</v>
      </c>
      <c r="B55" s="1" t="s">
        <v>9</v>
      </c>
      <c r="C55" s="1" t="s">
        <v>15</v>
      </c>
      <c r="D55" s="1" t="s">
        <v>17</v>
      </c>
      <c r="E55" s="1">
        <v>78500</v>
      </c>
      <c r="F55" s="1">
        <v>44</v>
      </c>
      <c r="G55" s="1">
        <v>3454000</v>
      </c>
    </row>
    <row r="56" spans="1:7" x14ac:dyDescent="0.3">
      <c r="A56" s="2">
        <v>44047</v>
      </c>
      <c r="B56" s="1" t="s">
        <v>18</v>
      </c>
      <c r="C56" s="1" t="s">
        <v>19</v>
      </c>
      <c r="D56" s="1" t="s">
        <v>10</v>
      </c>
      <c r="E56" s="1">
        <v>3990</v>
      </c>
      <c r="F56" s="1">
        <v>31</v>
      </c>
      <c r="G56" s="1">
        <v>123690</v>
      </c>
    </row>
    <row r="57" spans="1:7" x14ac:dyDescent="0.3">
      <c r="A57" s="2">
        <v>44051</v>
      </c>
      <c r="B57" s="1" t="s">
        <v>11</v>
      </c>
      <c r="C57" s="1" t="s">
        <v>19</v>
      </c>
      <c r="D57" s="1" t="s">
        <v>17</v>
      </c>
      <c r="E57" s="1">
        <v>52000</v>
      </c>
      <c r="F57" s="1">
        <v>29</v>
      </c>
      <c r="G57" s="1">
        <v>1508000</v>
      </c>
    </row>
    <row r="58" spans="1:7" x14ac:dyDescent="0.3">
      <c r="A58" s="2">
        <v>44055</v>
      </c>
      <c r="B58" s="1" t="s">
        <v>6</v>
      </c>
      <c r="C58" s="1" t="s">
        <v>15</v>
      </c>
      <c r="D58" s="1" t="s">
        <v>17</v>
      </c>
      <c r="E58" s="1">
        <v>13999</v>
      </c>
      <c r="F58" s="1">
        <v>34</v>
      </c>
      <c r="G58" s="1">
        <v>475966</v>
      </c>
    </row>
    <row r="59" spans="1:7" x14ac:dyDescent="0.3">
      <c r="A59" s="2">
        <v>44059</v>
      </c>
      <c r="B59" s="1" t="s">
        <v>9</v>
      </c>
      <c r="C59" s="1" t="s">
        <v>16</v>
      </c>
      <c r="D59" s="1" t="s">
        <v>10</v>
      </c>
      <c r="E59" s="1">
        <v>120</v>
      </c>
      <c r="F59" s="1">
        <v>29</v>
      </c>
      <c r="G59" s="1">
        <v>3480</v>
      </c>
    </row>
    <row r="60" spans="1:7" x14ac:dyDescent="0.3">
      <c r="A60" s="2">
        <v>44063</v>
      </c>
      <c r="B60" s="1" t="s">
        <v>18</v>
      </c>
      <c r="C60" s="1" t="s">
        <v>12</v>
      </c>
      <c r="D60" s="1" t="s">
        <v>10</v>
      </c>
      <c r="E60" s="1">
        <v>23999</v>
      </c>
      <c r="F60" s="1">
        <v>25</v>
      </c>
      <c r="G60" s="1">
        <v>599975</v>
      </c>
    </row>
    <row r="61" spans="1:7" x14ac:dyDescent="0.3">
      <c r="A61" s="2">
        <v>44067</v>
      </c>
      <c r="B61" s="1" t="s">
        <v>18</v>
      </c>
      <c r="C61" s="1" t="s">
        <v>15</v>
      </c>
      <c r="D61" s="1" t="s">
        <v>17</v>
      </c>
      <c r="E61" s="1">
        <v>45000</v>
      </c>
      <c r="F61" s="1">
        <v>31</v>
      </c>
      <c r="G61" s="1">
        <v>1395000</v>
      </c>
    </row>
    <row r="62" spans="1:7" x14ac:dyDescent="0.3">
      <c r="A62" s="2">
        <v>44071</v>
      </c>
      <c r="B62" s="1" t="s">
        <v>9</v>
      </c>
      <c r="C62" s="1" t="s">
        <v>21</v>
      </c>
      <c r="D62" s="1" t="s">
        <v>10</v>
      </c>
      <c r="E62" s="1">
        <v>450</v>
      </c>
      <c r="F62" s="1">
        <v>16</v>
      </c>
      <c r="G62" s="1">
        <v>7200</v>
      </c>
    </row>
    <row r="63" spans="1:7" x14ac:dyDescent="0.3">
      <c r="A63" s="2">
        <v>44075</v>
      </c>
      <c r="B63" s="1" t="s">
        <v>14</v>
      </c>
      <c r="C63" s="1" t="s">
        <v>16</v>
      </c>
      <c r="D63" s="1" t="s">
        <v>17</v>
      </c>
      <c r="E63" s="1">
        <v>65000</v>
      </c>
      <c r="F63" s="1">
        <v>48</v>
      </c>
      <c r="G63" s="1">
        <v>3120000</v>
      </c>
    </row>
    <row r="64" spans="1:7" x14ac:dyDescent="0.3">
      <c r="A64" s="2">
        <v>44079</v>
      </c>
      <c r="B64" s="1" t="s">
        <v>11</v>
      </c>
      <c r="C64" s="1" t="s">
        <v>15</v>
      </c>
      <c r="D64" s="1" t="s">
        <v>20</v>
      </c>
      <c r="E64" s="1">
        <v>35600</v>
      </c>
      <c r="F64" s="1">
        <v>22</v>
      </c>
      <c r="G64" s="1">
        <v>783200</v>
      </c>
    </row>
    <row r="65" spans="1:7" x14ac:dyDescent="0.3">
      <c r="A65" s="2">
        <v>44083</v>
      </c>
      <c r="B65" s="1" t="s">
        <v>22</v>
      </c>
      <c r="C65" s="1" t="s">
        <v>21</v>
      </c>
      <c r="D65" s="1" t="s">
        <v>13</v>
      </c>
      <c r="E65" s="1">
        <v>699</v>
      </c>
      <c r="F65" s="1">
        <v>6</v>
      </c>
      <c r="G65" s="1">
        <v>4194</v>
      </c>
    </row>
    <row r="66" spans="1:7" x14ac:dyDescent="0.3">
      <c r="A66" s="2">
        <v>44087</v>
      </c>
      <c r="B66" s="1" t="s">
        <v>9</v>
      </c>
      <c r="C66" s="1" t="s">
        <v>21</v>
      </c>
      <c r="D66" s="1" t="s">
        <v>10</v>
      </c>
      <c r="E66" s="1">
        <v>990</v>
      </c>
      <c r="F66" s="1">
        <v>12</v>
      </c>
      <c r="G66" s="1">
        <v>11880</v>
      </c>
    </row>
    <row r="67" spans="1:7" x14ac:dyDescent="0.3">
      <c r="A67" s="2">
        <v>44091</v>
      </c>
      <c r="B67" s="1" t="s">
        <v>22</v>
      </c>
      <c r="C67" s="1" t="s">
        <v>15</v>
      </c>
      <c r="D67" s="1" t="s">
        <v>8</v>
      </c>
      <c r="E67" s="1">
        <v>450</v>
      </c>
      <c r="F67" s="1">
        <v>44</v>
      </c>
      <c r="G67" s="1">
        <v>19800</v>
      </c>
    </row>
    <row r="68" spans="1:7" x14ac:dyDescent="0.3">
      <c r="A68" s="2">
        <v>44095</v>
      </c>
      <c r="B68" s="1" t="s">
        <v>22</v>
      </c>
      <c r="C68" s="1" t="s">
        <v>21</v>
      </c>
      <c r="D68" s="1" t="s">
        <v>13</v>
      </c>
      <c r="E68" s="1">
        <v>1499</v>
      </c>
      <c r="F68" s="1">
        <v>15</v>
      </c>
      <c r="G68" s="1">
        <v>22485</v>
      </c>
    </row>
    <row r="69" spans="1:7" x14ac:dyDescent="0.3">
      <c r="A69" s="2">
        <v>44099</v>
      </c>
      <c r="B69" s="1" t="s">
        <v>6</v>
      </c>
      <c r="C69" s="1" t="s">
        <v>7</v>
      </c>
      <c r="D69" s="1" t="s">
        <v>20</v>
      </c>
      <c r="E69" s="1">
        <v>499</v>
      </c>
      <c r="F69" s="1">
        <v>26</v>
      </c>
      <c r="G69" s="1">
        <v>12974</v>
      </c>
    </row>
    <row r="70" spans="1:7" x14ac:dyDescent="0.3">
      <c r="A70" s="2">
        <v>44103</v>
      </c>
      <c r="B70" s="1" t="s">
        <v>11</v>
      </c>
      <c r="C70" s="1" t="s">
        <v>15</v>
      </c>
      <c r="D70" s="1" t="s">
        <v>20</v>
      </c>
      <c r="E70" s="1">
        <v>44000</v>
      </c>
      <c r="F70" s="1">
        <v>16</v>
      </c>
      <c r="G70" s="1">
        <v>704000</v>
      </c>
    </row>
    <row r="71" spans="1:7" x14ac:dyDescent="0.3">
      <c r="A71" s="2">
        <v>44107</v>
      </c>
      <c r="B71" s="1" t="s">
        <v>6</v>
      </c>
      <c r="C71" s="1" t="s">
        <v>7</v>
      </c>
      <c r="D71" s="1" t="s">
        <v>17</v>
      </c>
      <c r="E71" s="1">
        <v>5599</v>
      </c>
      <c r="F71" s="1">
        <v>35</v>
      </c>
      <c r="G71" s="1">
        <v>195965</v>
      </c>
    </row>
    <row r="72" spans="1:7" x14ac:dyDescent="0.3">
      <c r="A72" s="2">
        <v>44111</v>
      </c>
      <c r="B72" s="1" t="s">
        <v>14</v>
      </c>
      <c r="C72" s="1" t="s">
        <v>15</v>
      </c>
      <c r="D72" s="1" t="s">
        <v>8</v>
      </c>
      <c r="E72" s="1">
        <v>54100</v>
      </c>
      <c r="F72" s="1">
        <v>36</v>
      </c>
      <c r="G72" s="1">
        <v>1947600</v>
      </c>
    </row>
    <row r="73" spans="1:7" x14ac:dyDescent="0.3">
      <c r="A73" s="2">
        <v>44115</v>
      </c>
      <c r="B73" s="1" t="s">
        <v>6</v>
      </c>
      <c r="C73" s="1" t="s">
        <v>7</v>
      </c>
      <c r="D73" s="1" t="s">
        <v>13</v>
      </c>
      <c r="E73" s="1">
        <v>2550</v>
      </c>
      <c r="F73" s="1">
        <v>20</v>
      </c>
      <c r="G73" s="1">
        <v>51000</v>
      </c>
    </row>
    <row r="74" spans="1:7" x14ac:dyDescent="0.3">
      <c r="A74" s="2">
        <v>44119</v>
      </c>
      <c r="B74" s="1" t="s">
        <v>9</v>
      </c>
      <c r="C74" s="1" t="s">
        <v>15</v>
      </c>
      <c r="D74" s="1" t="s">
        <v>13</v>
      </c>
      <c r="E74" s="1">
        <v>1450</v>
      </c>
      <c r="F74" s="1">
        <v>47</v>
      </c>
      <c r="G74" s="1">
        <v>68150</v>
      </c>
    </row>
    <row r="75" spans="1:7" x14ac:dyDescent="0.3">
      <c r="A75" s="2">
        <v>44123</v>
      </c>
      <c r="B75" s="1" t="s">
        <v>22</v>
      </c>
      <c r="C75" s="1" t="s">
        <v>21</v>
      </c>
      <c r="D75" s="1" t="s">
        <v>17</v>
      </c>
      <c r="E75" s="1">
        <v>2900</v>
      </c>
      <c r="F75" s="1">
        <v>6</v>
      </c>
      <c r="G75" s="1">
        <v>17400</v>
      </c>
    </row>
    <row r="76" spans="1:7" x14ac:dyDescent="0.3">
      <c r="A76" s="2">
        <v>44127</v>
      </c>
      <c r="B76" s="1" t="s">
        <v>14</v>
      </c>
      <c r="C76" s="1" t="s">
        <v>15</v>
      </c>
      <c r="D76" s="1" t="s">
        <v>20</v>
      </c>
      <c r="E76" s="1">
        <v>65200</v>
      </c>
      <c r="F76" s="1">
        <v>6</v>
      </c>
      <c r="G76" s="1">
        <v>391200</v>
      </c>
    </row>
    <row r="77" spans="1:7" x14ac:dyDescent="0.3">
      <c r="A77" s="2">
        <v>44131</v>
      </c>
      <c r="B77" s="1" t="s">
        <v>9</v>
      </c>
      <c r="C77" s="1" t="s">
        <v>19</v>
      </c>
      <c r="D77" s="1" t="s">
        <v>20</v>
      </c>
      <c r="E77" s="1">
        <v>52000</v>
      </c>
      <c r="F77" s="1">
        <v>41</v>
      </c>
      <c r="G77" s="1">
        <v>2132000</v>
      </c>
    </row>
    <row r="78" spans="1:7" x14ac:dyDescent="0.3">
      <c r="A78" s="2">
        <v>44135</v>
      </c>
      <c r="B78" s="1" t="s">
        <v>11</v>
      </c>
      <c r="C78" s="1" t="s">
        <v>15</v>
      </c>
      <c r="D78" s="1" t="s">
        <v>10</v>
      </c>
      <c r="E78" s="1">
        <v>59000</v>
      </c>
      <c r="F78" s="1">
        <v>29</v>
      </c>
      <c r="G78" s="1">
        <v>1711000</v>
      </c>
    </row>
    <row r="79" spans="1:7" x14ac:dyDescent="0.3">
      <c r="A79" s="2">
        <v>44139</v>
      </c>
      <c r="B79" s="1" t="s">
        <v>18</v>
      </c>
      <c r="C79" s="1" t="s">
        <v>12</v>
      </c>
      <c r="D79" s="1" t="s">
        <v>20</v>
      </c>
      <c r="E79" s="1">
        <v>7999</v>
      </c>
      <c r="F79" s="1">
        <v>31</v>
      </c>
      <c r="G79" s="1">
        <v>247969</v>
      </c>
    </row>
    <row r="80" spans="1:7" x14ac:dyDescent="0.3">
      <c r="A80" s="2">
        <v>44143</v>
      </c>
      <c r="B80" s="1" t="s">
        <v>9</v>
      </c>
      <c r="C80" s="1" t="s">
        <v>16</v>
      </c>
      <c r="D80" s="1" t="s">
        <v>10</v>
      </c>
      <c r="E80" s="1">
        <v>45000</v>
      </c>
      <c r="F80" s="1">
        <v>34</v>
      </c>
      <c r="G80" s="1">
        <v>1530000</v>
      </c>
    </row>
    <row r="81" spans="1:7" x14ac:dyDescent="0.3">
      <c r="A81" s="2">
        <v>44147</v>
      </c>
      <c r="B81" s="1" t="s">
        <v>22</v>
      </c>
      <c r="C81" s="1" t="s">
        <v>21</v>
      </c>
      <c r="D81" s="1" t="s">
        <v>8</v>
      </c>
      <c r="E81" s="1">
        <v>990</v>
      </c>
      <c r="F81" s="1">
        <v>43</v>
      </c>
      <c r="G81" s="1">
        <v>42570</v>
      </c>
    </row>
    <row r="82" spans="1:7" x14ac:dyDescent="0.3">
      <c r="A82" s="2">
        <v>44151</v>
      </c>
      <c r="B82" s="1" t="s">
        <v>18</v>
      </c>
      <c r="C82" s="1" t="s">
        <v>19</v>
      </c>
      <c r="D82" s="1" t="s">
        <v>8</v>
      </c>
      <c r="E82" s="1">
        <v>11999</v>
      </c>
      <c r="F82" s="1">
        <v>37</v>
      </c>
      <c r="G82" s="1">
        <v>443963</v>
      </c>
    </row>
    <row r="83" spans="1:7" x14ac:dyDescent="0.3">
      <c r="A83" s="2">
        <v>44155</v>
      </c>
      <c r="B83" s="1" t="s">
        <v>18</v>
      </c>
      <c r="C83" s="1" t="s">
        <v>12</v>
      </c>
      <c r="D83" s="1" t="s">
        <v>8</v>
      </c>
      <c r="E83" s="1">
        <v>960</v>
      </c>
      <c r="F83" s="1">
        <v>7</v>
      </c>
      <c r="G83" s="1">
        <v>6720</v>
      </c>
    </row>
    <row r="84" spans="1:7" x14ac:dyDescent="0.3">
      <c r="A84" s="2">
        <v>44159</v>
      </c>
      <c r="B84" s="1" t="s">
        <v>9</v>
      </c>
      <c r="C84" s="1" t="s">
        <v>7</v>
      </c>
      <c r="D84" s="1" t="s">
        <v>13</v>
      </c>
      <c r="E84" s="1">
        <v>1450</v>
      </c>
      <c r="F84" s="1">
        <v>19</v>
      </c>
      <c r="G84" s="1">
        <v>27550</v>
      </c>
    </row>
    <row r="85" spans="1:7" x14ac:dyDescent="0.3">
      <c r="A85" s="2">
        <v>44163</v>
      </c>
      <c r="B85" s="1" t="s">
        <v>11</v>
      </c>
      <c r="C85" s="1" t="s">
        <v>15</v>
      </c>
      <c r="D85" s="1" t="s">
        <v>10</v>
      </c>
      <c r="E85" s="1">
        <v>45000</v>
      </c>
      <c r="F85" s="1">
        <v>47</v>
      </c>
      <c r="G85" s="1">
        <v>2115000</v>
      </c>
    </row>
    <row r="86" spans="1:7" x14ac:dyDescent="0.3">
      <c r="A86" s="2">
        <v>44167</v>
      </c>
      <c r="B86" s="1" t="s">
        <v>9</v>
      </c>
      <c r="C86" s="1" t="s">
        <v>21</v>
      </c>
      <c r="D86" s="1" t="s">
        <v>10</v>
      </c>
      <c r="E86" s="1">
        <v>1499</v>
      </c>
      <c r="F86" s="1">
        <v>37</v>
      </c>
      <c r="G86" s="1">
        <v>55463</v>
      </c>
    </row>
    <row r="87" spans="1:7" x14ac:dyDescent="0.3">
      <c r="A87" s="2">
        <v>44171</v>
      </c>
      <c r="B87" s="1" t="s">
        <v>18</v>
      </c>
      <c r="C87" s="1" t="s">
        <v>19</v>
      </c>
      <c r="D87" s="1" t="s">
        <v>13</v>
      </c>
      <c r="E87" s="1">
        <v>79999</v>
      </c>
      <c r="F87" s="1">
        <v>4</v>
      </c>
      <c r="G87" s="1">
        <v>319996</v>
      </c>
    </row>
    <row r="88" spans="1:7" x14ac:dyDescent="0.3">
      <c r="A88" s="2">
        <v>44175</v>
      </c>
      <c r="B88" s="1" t="s">
        <v>14</v>
      </c>
      <c r="C88" s="1" t="s">
        <v>15</v>
      </c>
      <c r="D88" s="1" t="s">
        <v>20</v>
      </c>
      <c r="E88" s="1">
        <v>999</v>
      </c>
      <c r="F88" s="1">
        <v>45</v>
      </c>
      <c r="G88" s="1">
        <v>44955</v>
      </c>
    </row>
    <row r="89" spans="1:7" x14ac:dyDescent="0.3">
      <c r="A89" s="2">
        <v>44179</v>
      </c>
      <c r="B89" s="1" t="s">
        <v>9</v>
      </c>
      <c r="C89" s="1" t="s">
        <v>19</v>
      </c>
      <c r="D89" s="1" t="s">
        <v>8</v>
      </c>
      <c r="E89" s="1">
        <v>52000</v>
      </c>
      <c r="F89" s="1">
        <v>15</v>
      </c>
      <c r="G89" s="1">
        <v>780000</v>
      </c>
    </row>
    <row r="90" spans="1:7" x14ac:dyDescent="0.3">
      <c r="A90" s="2">
        <v>44183</v>
      </c>
      <c r="B90" s="1" t="s">
        <v>11</v>
      </c>
      <c r="C90" s="1" t="s">
        <v>15</v>
      </c>
      <c r="D90" s="1" t="s">
        <v>17</v>
      </c>
      <c r="E90" s="1">
        <v>52000</v>
      </c>
      <c r="F90" s="1">
        <v>39</v>
      </c>
      <c r="G90" s="1">
        <v>2028000</v>
      </c>
    </row>
    <row r="91" spans="1:7" x14ac:dyDescent="0.3">
      <c r="A91" s="2">
        <v>44187</v>
      </c>
      <c r="B91" s="1" t="s">
        <v>18</v>
      </c>
      <c r="C91" s="1" t="s">
        <v>12</v>
      </c>
      <c r="D91" s="1" t="s">
        <v>13</v>
      </c>
      <c r="E91" s="1">
        <v>960</v>
      </c>
      <c r="F91" s="1">
        <v>33</v>
      </c>
      <c r="G91" s="1">
        <v>31680</v>
      </c>
    </row>
    <row r="92" spans="1:7" x14ac:dyDescent="0.3">
      <c r="A92" s="2">
        <v>44191</v>
      </c>
      <c r="B92" s="1" t="s">
        <v>18</v>
      </c>
      <c r="C92" s="1" t="s">
        <v>15</v>
      </c>
      <c r="D92" s="1" t="s">
        <v>17</v>
      </c>
      <c r="E92" s="1">
        <v>19500</v>
      </c>
      <c r="F92" s="1">
        <v>45</v>
      </c>
      <c r="G92" s="1">
        <v>877500</v>
      </c>
    </row>
    <row r="93" spans="1:7" x14ac:dyDescent="0.3">
      <c r="A93" s="2">
        <v>44195</v>
      </c>
      <c r="B93" s="1" t="s">
        <v>18</v>
      </c>
      <c r="C93" s="1" t="s">
        <v>19</v>
      </c>
      <c r="D93" s="1" t="s">
        <v>17</v>
      </c>
      <c r="E93" s="1">
        <v>2999</v>
      </c>
      <c r="F93" s="1">
        <v>33</v>
      </c>
      <c r="G93" s="1">
        <v>98967</v>
      </c>
    </row>
    <row r="94" spans="1:7" x14ac:dyDescent="0.3">
      <c r="A94" s="2">
        <v>44199</v>
      </c>
      <c r="B94" s="1" t="s">
        <v>9</v>
      </c>
      <c r="C94" s="1" t="s">
        <v>12</v>
      </c>
      <c r="D94" s="1" t="s">
        <v>20</v>
      </c>
      <c r="E94" s="1">
        <v>1250</v>
      </c>
      <c r="F94" s="1">
        <v>14</v>
      </c>
      <c r="G94" s="1">
        <v>17500</v>
      </c>
    </row>
    <row r="95" spans="1:7" x14ac:dyDescent="0.3">
      <c r="A95" s="2">
        <v>44203</v>
      </c>
      <c r="B95" s="1" t="s">
        <v>9</v>
      </c>
      <c r="C95" s="1" t="s">
        <v>16</v>
      </c>
      <c r="D95" s="1" t="s">
        <v>8</v>
      </c>
      <c r="E95" s="1">
        <v>120</v>
      </c>
      <c r="F95" s="1">
        <v>41</v>
      </c>
      <c r="G95" s="1">
        <v>4920</v>
      </c>
    </row>
    <row r="96" spans="1:7" x14ac:dyDescent="0.3">
      <c r="A96" s="2">
        <v>44207</v>
      </c>
      <c r="B96" s="1" t="s">
        <v>11</v>
      </c>
      <c r="C96" s="1" t="s">
        <v>7</v>
      </c>
      <c r="D96" s="1" t="s">
        <v>17</v>
      </c>
      <c r="E96" s="1">
        <v>1450</v>
      </c>
      <c r="F96" s="1">
        <v>22</v>
      </c>
      <c r="G96" s="1">
        <v>31900</v>
      </c>
    </row>
    <row r="97" spans="1:7" x14ac:dyDescent="0.3">
      <c r="A97" s="2">
        <v>44211</v>
      </c>
      <c r="B97" s="1" t="s">
        <v>18</v>
      </c>
      <c r="C97" s="1" t="s">
        <v>19</v>
      </c>
      <c r="D97" s="1" t="s">
        <v>8</v>
      </c>
      <c r="E97" s="1">
        <v>89999</v>
      </c>
      <c r="F97" s="1">
        <v>15</v>
      </c>
      <c r="G97" s="1">
        <v>1349985</v>
      </c>
    </row>
    <row r="98" spans="1:7" x14ac:dyDescent="0.3">
      <c r="A98" s="2">
        <v>44215</v>
      </c>
      <c r="B98" s="1" t="s">
        <v>22</v>
      </c>
      <c r="C98" s="1" t="s">
        <v>15</v>
      </c>
      <c r="D98" s="1" t="s">
        <v>13</v>
      </c>
      <c r="E98" s="1">
        <v>1999</v>
      </c>
      <c r="F98" s="1">
        <v>48</v>
      </c>
      <c r="G98" s="1">
        <v>95952</v>
      </c>
    </row>
    <row r="99" spans="1:7" x14ac:dyDescent="0.3">
      <c r="A99" s="2">
        <v>44219</v>
      </c>
      <c r="B99" s="1" t="s">
        <v>22</v>
      </c>
      <c r="C99" s="1" t="s">
        <v>21</v>
      </c>
      <c r="D99" s="1" t="s">
        <v>17</v>
      </c>
      <c r="E99" s="1">
        <v>2900</v>
      </c>
      <c r="F99" s="1">
        <v>49</v>
      </c>
      <c r="G99" s="1">
        <v>142100</v>
      </c>
    </row>
    <row r="100" spans="1:7" x14ac:dyDescent="0.3">
      <c r="A100" s="2">
        <v>44223</v>
      </c>
      <c r="B100" s="1" t="s">
        <v>18</v>
      </c>
      <c r="C100" s="1" t="s">
        <v>19</v>
      </c>
      <c r="D100" s="1" t="s">
        <v>20</v>
      </c>
      <c r="E100" s="1">
        <v>700</v>
      </c>
      <c r="F100" s="1">
        <v>50</v>
      </c>
      <c r="G100" s="1">
        <v>35000</v>
      </c>
    </row>
    <row r="101" spans="1:7" x14ac:dyDescent="0.3">
      <c r="A101" s="2">
        <v>44227</v>
      </c>
      <c r="B101" s="1" t="s">
        <v>14</v>
      </c>
      <c r="C101" s="1" t="s">
        <v>16</v>
      </c>
      <c r="D101" s="1" t="s">
        <v>17</v>
      </c>
      <c r="E101" s="1">
        <v>200</v>
      </c>
      <c r="F101" s="1">
        <v>41</v>
      </c>
      <c r="G101" s="1">
        <v>8200</v>
      </c>
    </row>
    <row r="102" spans="1:7" x14ac:dyDescent="0.3">
      <c r="A102" s="2">
        <v>44231</v>
      </c>
      <c r="B102" s="1" t="s">
        <v>11</v>
      </c>
      <c r="C102" s="1" t="s">
        <v>15</v>
      </c>
      <c r="D102" s="1" t="s">
        <v>10</v>
      </c>
      <c r="E102" s="1">
        <v>49000</v>
      </c>
      <c r="F102" s="1">
        <v>29</v>
      </c>
      <c r="G102" s="1">
        <v>1421000</v>
      </c>
    </row>
    <row r="103" spans="1:7" x14ac:dyDescent="0.3">
      <c r="A103" s="2">
        <v>44235</v>
      </c>
      <c r="B103" s="1" t="s">
        <v>6</v>
      </c>
      <c r="C103" s="1" t="s">
        <v>7</v>
      </c>
      <c r="D103" s="1" t="s">
        <v>20</v>
      </c>
      <c r="E103" s="1">
        <v>5599</v>
      </c>
      <c r="F103" s="1">
        <v>36</v>
      </c>
      <c r="G103" s="1">
        <v>201564</v>
      </c>
    </row>
    <row r="104" spans="1:7" x14ac:dyDescent="0.3">
      <c r="A104" s="2">
        <v>44239</v>
      </c>
      <c r="B104" s="1" t="s">
        <v>14</v>
      </c>
      <c r="C104" s="1" t="s">
        <v>16</v>
      </c>
      <c r="D104" s="1" t="s">
        <v>17</v>
      </c>
      <c r="E104" s="1">
        <v>13500</v>
      </c>
      <c r="F104" s="1">
        <v>39</v>
      </c>
      <c r="G104" s="1">
        <v>526500</v>
      </c>
    </row>
    <row r="105" spans="1:7" x14ac:dyDescent="0.3">
      <c r="A105" s="2">
        <v>44243</v>
      </c>
      <c r="B105" s="1" t="s">
        <v>11</v>
      </c>
      <c r="C105" s="1" t="s">
        <v>19</v>
      </c>
      <c r="D105" s="1" t="s">
        <v>17</v>
      </c>
      <c r="E105" s="1">
        <v>79999</v>
      </c>
      <c r="F105" s="1">
        <v>9</v>
      </c>
      <c r="G105" s="1">
        <v>719991</v>
      </c>
    </row>
    <row r="106" spans="1:7" x14ac:dyDescent="0.3">
      <c r="A106" s="2">
        <v>44247</v>
      </c>
      <c r="B106" s="1" t="s">
        <v>18</v>
      </c>
      <c r="C106" s="1" t="s">
        <v>15</v>
      </c>
      <c r="D106" s="1" t="s">
        <v>13</v>
      </c>
      <c r="E106" s="1">
        <v>75200</v>
      </c>
      <c r="F106" s="1">
        <v>38</v>
      </c>
      <c r="G106" s="1">
        <v>2857600</v>
      </c>
    </row>
    <row r="107" spans="1:7" x14ac:dyDescent="0.3">
      <c r="A107" s="2">
        <v>44251</v>
      </c>
      <c r="B107" s="1" t="s">
        <v>18</v>
      </c>
      <c r="C107" s="1" t="s">
        <v>12</v>
      </c>
      <c r="D107" s="1" t="s">
        <v>8</v>
      </c>
      <c r="E107" s="1">
        <v>550</v>
      </c>
      <c r="F107" s="1">
        <v>25</v>
      </c>
      <c r="G107" s="1">
        <v>13750</v>
      </c>
    </row>
    <row r="108" spans="1:7" x14ac:dyDescent="0.3">
      <c r="A108" s="2">
        <v>44255</v>
      </c>
      <c r="B108" s="1" t="s">
        <v>6</v>
      </c>
      <c r="C108" s="1" t="s">
        <v>7</v>
      </c>
      <c r="D108" s="1" t="s">
        <v>8</v>
      </c>
      <c r="E108" s="1">
        <v>499</v>
      </c>
      <c r="F108" s="1">
        <v>50</v>
      </c>
      <c r="G108" s="1">
        <v>24950</v>
      </c>
    </row>
    <row r="109" spans="1:7" x14ac:dyDescent="0.3">
      <c r="A109" s="2">
        <v>44259</v>
      </c>
      <c r="B109" s="1" t="s">
        <v>6</v>
      </c>
      <c r="C109" s="1" t="s">
        <v>7</v>
      </c>
      <c r="D109" s="1" t="s">
        <v>10</v>
      </c>
      <c r="E109" s="1">
        <v>5599</v>
      </c>
      <c r="F109" s="1">
        <v>33</v>
      </c>
      <c r="G109" s="1">
        <v>184767</v>
      </c>
    </row>
    <row r="110" spans="1:7" x14ac:dyDescent="0.3">
      <c r="A110" s="2">
        <v>44263</v>
      </c>
      <c r="B110" s="1" t="s">
        <v>11</v>
      </c>
      <c r="C110" s="1" t="s">
        <v>12</v>
      </c>
      <c r="D110" s="1" t="s">
        <v>13</v>
      </c>
      <c r="E110" s="1">
        <v>1450</v>
      </c>
      <c r="F110" s="1">
        <v>44</v>
      </c>
      <c r="G110" s="1">
        <v>63800</v>
      </c>
    </row>
    <row r="111" spans="1:7" x14ac:dyDescent="0.3">
      <c r="A111" s="2">
        <v>44267</v>
      </c>
      <c r="B111" s="1" t="s">
        <v>14</v>
      </c>
      <c r="C111" s="1" t="s">
        <v>16</v>
      </c>
      <c r="D111" s="1" t="s">
        <v>8</v>
      </c>
      <c r="E111" s="1">
        <v>999</v>
      </c>
      <c r="F111" s="1">
        <v>31</v>
      </c>
      <c r="G111" s="1">
        <v>30969</v>
      </c>
    </row>
    <row r="112" spans="1:7" x14ac:dyDescent="0.3">
      <c r="A112" s="2">
        <v>44271</v>
      </c>
      <c r="B112" s="1" t="s">
        <v>14</v>
      </c>
      <c r="C112" s="1" t="s">
        <v>16</v>
      </c>
      <c r="D112" s="1" t="s">
        <v>17</v>
      </c>
      <c r="E112" s="1">
        <v>100</v>
      </c>
      <c r="F112" s="1">
        <v>11</v>
      </c>
      <c r="G112" s="1">
        <v>1100</v>
      </c>
    </row>
    <row r="113" spans="1:7" x14ac:dyDescent="0.3">
      <c r="A113" s="2">
        <v>44275</v>
      </c>
      <c r="B113" s="1" t="s">
        <v>11</v>
      </c>
      <c r="C113" s="1" t="s">
        <v>7</v>
      </c>
      <c r="D113" s="1" t="s">
        <v>17</v>
      </c>
      <c r="E113" s="1">
        <v>2550</v>
      </c>
      <c r="F113" s="1">
        <v>48</v>
      </c>
      <c r="G113" s="1">
        <v>122400</v>
      </c>
    </row>
    <row r="114" spans="1:7" x14ac:dyDescent="0.3">
      <c r="A114" s="2">
        <v>44279</v>
      </c>
      <c r="B114" s="1" t="s">
        <v>18</v>
      </c>
      <c r="C114" s="1" t="s">
        <v>19</v>
      </c>
      <c r="D114" s="1" t="s">
        <v>17</v>
      </c>
      <c r="E114" s="1">
        <v>33000</v>
      </c>
      <c r="F114" s="1">
        <v>26</v>
      </c>
      <c r="G114" s="1">
        <v>858000</v>
      </c>
    </row>
    <row r="115" spans="1:7" x14ac:dyDescent="0.3">
      <c r="A115" s="2">
        <v>44283</v>
      </c>
      <c r="B115" s="1" t="s">
        <v>9</v>
      </c>
      <c r="C115" s="1" t="s">
        <v>7</v>
      </c>
      <c r="D115" s="1" t="s">
        <v>13</v>
      </c>
      <c r="E115" s="1">
        <v>800</v>
      </c>
      <c r="F115" s="1">
        <v>39</v>
      </c>
      <c r="G115" s="1">
        <v>31200</v>
      </c>
    </row>
    <row r="116" spans="1:7" x14ac:dyDescent="0.3">
      <c r="A116" s="2">
        <v>44287</v>
      </c>
      <c r="B116" s="1" t="s">
        <v>22</v>
      </c>
      <c r="C116" s="1" t="s">
        <v>21</v>
      </c>
      <c r="D116" s="1" t="s">
        <v>13</v>
      </c>
      <c r="E116" s="1">
        <v>990</v>
      </c>
      <c r="F116" s="1">
        <v>9</v>
      </c>
      <c r="G116" s="1">
        <v>8910</v>
      </c>
    </row>
    <row r="117" spans="1:7" x14ac:dyDescent="0.3">
      <c r="A117" s="2">
        <v>44291</v>
      </c>
      <c r="B117" s="1" t="s">
        <v>6</v>
      </c>
      <c r="C117" s="1" t="s">
        <v>7</v>
      </c>
      <c r="D117" s="1" t="s">
        <v>8</v>
      </c>
      <c r="E117" s="1">
        <v>5599</v>
      </c>
      <c r="F117" s="1">
        <v>41</v>
      </c>
      <c r="G117" s="1">
        <v>229559</v>
      </c>
    </row>
    <row r="118" spans="1:7" x14ac:dyDescent="0.3">
      <c r="A118" s="2">
        <v>44295</v>
      </c>
      <c r="B118" s="1" t="s">
        <v>18</v>
      </c>
      <c r="C118" s="1" t="s">
        <v>19</v>
      </c>
      <c r="D118" s="1" t="s">
        <v>8</v>
      </c>
      <c r="E118" s="1">
        <v>499</v>
      </c>
      <c r="F118" s="1">
        <v>39</v>
      </c>
      <c r="G118" s="1">
        <v>19461</v>
      </c>
    </row>
    <row r="119" spans="1:7" x14ac:dyDescent="0.3">
      <c r="A119" s="2">
        <v>44299</v>
      </c>
      <c r="B119" s="1" t="s">
        <v>22</v>
      </c>
      <c r="C119" s="1" t="s">
        <v>21</v>
      </c>
      <c r="D119" s="1" t="s">
        <v>8</v>
      </c>
      <c r="E119" s="1">
        <v>1999</v>
      </c>
      <c r="F119" s="1">
        <v>4</v>
      </c>
      <c r="G119" s="1">
        <v>7996</v>
      </c>
    </row>
    <row r="120" spans="1:7" x14ac:dyDescent="0.3">
      <c r="A120" s="2">
        <v>44303</v>
      </c>
      <c r="B120" s="1" t="s">
        <v>11</v>
      </c>
      <c r="C120" s="1" t="s">
        <v>16</v>
      </c>
      <c r="D120" s="1" t="s">
        <v>8</v>
      </c>
      <c r="E120" s="1">
        <v>200</v>
      </c>
      <c r="F120" s="1">
        <v>8</v>
      </c>
      <c r="G120" s="1">
        <v>1600</v>
      </c>
    </row>
    <row r="121" spans="1:7" x14ac:dyDescent="0.3">
      <c r="A121" s="2">
        <v>44307</v>
      </c>
      <c r="B121" s="1" t="s">
        <v>22</v>
      </c>
      <c r="C121" s="1" t="s">
        <v>21</v>
      </c>
      <c r="D121" s="1" t="s">
        <v>13</v>
      </c>
      <c r="E121" s="1">
        <v>1499</v>
      </c>
      <c r="F121" s="1">
        <v>27</v>
      </c>
      <c r="G121" s="1">
        <v>40473</v>
      </c>
    </row>
    <row r="122" spans="1:7" x14ac:dyDescent="0.3">
      <c r="A122" s="2">
        <v>44311</v>
      </c>
      <c r="B122" s="1" t="s">
        <v>14</v>
      </c>
      <c r="C122" s="1" t="s">
        <v>16</v>
      </c>
      <c r="D122" s="1" t="s">
        <v>20</v>
      </c>
      <c r="E122" s="1">
        <v>120</v>
      </c>
      <c r="F122" s="1">
        <v>10</v>
      </c>
      <c r="G122" s="1">
        <v>1200</v>
      </c>
    </row>
    <row r="123" spans="1:7" x14ac:dyDescent="0.3">
      <c r="A123" s="2">
        <v>44315</v>
      </c>
      <c r="B123" s="1" t="s">
        <v>9</v>
      </c>
      <c r="C123" s="1" t="s">
        <v>19</v>
      </c>
      <c r="D123" s="1" t="s">
        <v>20</v>
      </c>
      <c r="E123" s="1">
        <v>11999</v>
      </c>
      <c r="F123" s="1">
        <v>17</v>
      </c>
      <c r="G123" s="1">
        <v>203983</v>
      </c>
    </row>
    <row r="124" spans="1:7" x14ac:dyDescent="0.3">
      <c r="A124" s="2">
        <v>44319</v>
      </c>
      <c r="B124" s="1" t="s">
        <v>9</v>
      </c>
      <c r="C124" s="1" t="s">
        <v>19</v>
      </c>
      <c r="D124" s="1" t="s">
        <v>10</v>
      </c>
      <c r="E124" s="1">
        <v>999</v>
      </c>
      <c r="F124" s="1">
        <v>27</v>
      </c>
      <c r="G124" s="1">
        <v>26973</v>
      </c>
    </row>
    <row r="125" spans="1:7" x14ac:dyDescent="0.3">
      <c r="A125" s="2">
        <v>44323</v>
      </c>
      <c r="B125" s="1" t="s">
        <v>11</v>
      </c>
      <c r="C125" s="1" t="s">
        <v>19</v>
      </c>
      <c r="D125" s="1" t="s">
        <v>13</v>
      </c>
      <c r="E125" s="1">
        <v>2999</v>
      </c>
      <c r="F125" s="1">
        <v>43</v>
      </c>
      <c r="G125" s="1">
        <v>128957</v>
      </c>
    </row>
    <row r="126" spans="1:7" x14ac:dyDescent="0.3">
      <c r="A126" s="2">
        <v>44327</v>
      </c>
      <c r="B126" s="1" t="s">
        <v>14</v>
      </c>
      <c r="C126" s="1" t="s">
        <v>15</v>
      </c>
      <c r="D126" s="1" t="s">
        <v>10</v>
      </c>
      <c r="E126" s="1">
        <v>47800</v>
      </c>
      <c r="F126" s="1">
        <v>9</v>
      </c>
      <c r="G126" s="1">
        <v>430200</v>
      </c>
    </row>
    <row r="127" spans="1:7" x14ac:dyDescent="0.3">
      <c r="A127" s="2">
        <v>44331</v>
      </c>
      <c r="B127" s="1" t="s">
        <v>18</v>
      </c>
      <c r="C127" s="1" t="s">
        <v>15</v>
      </c>
      <c r="D127" s="1" t="s">
        <v>8</v>
      </c>
      <c r="E127" s="1">
        <v>22000</v>
      </c>
      <c r="F127" s="1">
        <v>42</v>
      </c>
      <c r="G127" s="1">
        <v>924000</v>
      </c>
    </row>
    <row r="128" spans="1:7" x14ac:dyDescent="0.3">
      <c r="A128" s="2">
        <v>44335</v>
      </c>
      <c r="B128" s="1" t="s">
        <v>18</v>
      </c>
      <c r="C128" s="1" t="s">
        <v>12</v>
      </c>
      <c r="D128" s="1" t="s">
        <v>10</v>
      </c>
      <c r="E128" s="1">
        <v>1250</v>
      </c>
      <c r="F128" s="1">
        <v>6</v>
      </c>
      <c r="G128" s="1">
        <v>7500</v>
      </c>
    </row>
    <row r="129" spans="1:7" x14ac:dyDescent="0.3">
      <c r="A129" s="2">
        <v>44339</v>
      </c>
      <c r="B129" s="1" t="s">
        <v>14</v>
      </c>
      <c r="C129" s="1" t="s">
        <v>16</v>
      </c>
      <c r="D129" s="1" t="s">
        <v>13</v>
      </c>
      <c r="E129" s="1">
        <v>999</v>
      </c>
      <c r="F129" s="1">
        <v>28</v>
      </c>
      <c r="G129" s="1">
        <v>27972</v>
      </c>
    </row>
    <row r="130" spans="1:7" x14ac:dyDescent="0.3">
      <c r="A130" s="2">
        <v>44343</v>
      </c>
      <c r="B130" s="1" t="s">
        <v>18</v>
      </c>
      <c r="C130" s="1" t="s">
        <v>12</v>
      </c>
      <c r="D130" s="1" t="s">
        <v>20</v>
      </c>
      <c r="E130" s="1">
        <v>1450</v>
      </c>
      <c r="F130" s="1">
        <v>13</v>
      </c>
      <c r="G130" s="1">
        <v>18850</v>
      </c>
    </row>
    <row r="131" spans="1:7" x14ac:dyDescent="0.3">
      <c r="A131" s="2">
        <v>44347</v>
      </c>
      <c r="B131" s="1" t="s">
        <v>18</v>
      </c>
      <c r="C131" s="1" t="s">
        <v>12</v>
      </c>
      <c r="D131" s="1" t="s">
        <v>20</v>
      </c>
      <c r="E131" s="1">
        <v>23999</v>
      </c>
      <c r="F131" s="1">
        <v>8</v>
      </c>
      <c r="G131" s="1">
        <v>191992</v>
      </c>
    </row>
    <row r="132" spans="1:7" x14ac:dyDescent="0.3">
      <c r="A132" s="2">
        <v>44351</v>
      </c>
      <c r="B132" s="1" t="s">
        <v>9</v>
      </c>
      <c r="C132" s="1" t="s">
        <v>15</v>
      </c>
      <c r="D132" s="1" t="s">
        <v>20</v>
      </c>
      <c r="E132" s="1">
        <v>92000</v>
      </c>
      <c r="F132" s="1">
        <v>7</v>
      </c>
      <c r="G132" s="1">
        <v>644000</v>
      </c>
    </row>
    <row r="133" spans="1:7" x14ac:dyDescent="0.3">
      <c r="A133" s="2">
        <v>44355</v>
      </c>
      <c r="B133" s="1" t="s">
        <v>22</v>
      </c>
      <c r="C133" s="1" t="s">
        <v>21</v>
      </c>
      <c r="D133" s="1" t="s">
        <v>13</v>
      </c>
      <c r="E133" s="1">
        <v>699</v>
      </c>
      <c r="F133" s="1">
        <v>45</v>
      </c>
      <c r="G133" s="1">
        <v>31455</v>
      </c>
    </row>
    <row r="134" spans="1:7" x14ac:dyDescent="0.3">
      <c r="A134" s="2">
        <v>44359</v>
      </c>
      <c r="B134" s="1" t="s">
        <v>6</v>
      </c>
      <c r="C134" s="1" t="s">
        <v>7</v>
      </c>
      <c r="D134" s="1" t="s">
        <v>8</v>
      </c>
      <c r="E134" s="1">
        <v>2550</v>
      </c>
      <c r="F134" s="1">
        <v>22</v>
      </c>
      <c r="G134" s="1">
        <v>56100</v>
      </c>
    </row>
    <row r="135" spans="1:7" x14ac:dyDescent="0.3">
      <c r="A135" s="2">
        <v>44363</v>
      </c>
      <c r="B135" s="1" t="s">
        <v>11</v>
      </c>
      <c r="C135" s="1" t="s">
        <v>19</v>
      </c>
      <c r="D135" s="1" t="s">
        <v>20</v>
      </c>
      <c r="E135" s="1">
        <v>22000</v>
      </c>
      <c r="F135" s="1">
        <v>4</v>
      </c>
      <c r="G135" s="1">
        <v>88000</v>
      </c>
    </row>
    <row r="136" spans="1:7" x14ac:dyDescent="0.3">
      <c r="A136" s="2">
        <v>44367</v>
      </c>
      <c r="B136" s="1" t="s">
        <v>18</v>
      </c>
      <c r="C136" s="1" t="s">
        <v>19</v>
      </c>
      <c r="D136" s="1" t="s">
        <v>8</v>
      </c>
      <c r="E136" s="1">
        <v>22000</v>
      </c>
      <c r="F136" s="1">
        <v>10</v>
      </c>
      <c r="G136" s="1">
        <v>220000</v>
      </c>
    </row>
    <row r="137" spans="1:7" x14ac:dyDescent="0.3">
      <c r="A137" s="2">
        <v>44371</v>
      </c>
      <c r="B137" s="1" t="s">
        <v>9</v>
      </c>
      <c r="C137" s="1" t="s">
        <v>21</v>
      </c>
      <c r="D137" s="1" t="s">
        <v>13</v>
      </c>
      <c r="E137" s="1">
        <v>1499</v>
      </c>
      <c r="F137" s="1">
        <v>16</v>
      </c>
      <c r="G137" s="1">
        <v>23984</v>
      </c>
    </row>
    <row r="138" spans="1:7" x14ac:dyDescent="0.3">
      <c r="A138" s="2">
        <v>44375</v>
      </c>
      <c r="B138" s="1" t="s">
        <v>14</v>
      </c>
      <c r="C138" s="1" t="s">
        <v>16</v>
      </c>
      <c r="D138" s="1" t="s">
        <v>20</v>
      </c>
      <c r="E138" s="1">
        <v>120</v>
      </c>
      <c r="F138" s="1">
        <v>22</v>
      </c>
      <c r="G138" s="1">
        <v>2640</v>
      </c>
    </row>
    <row r="139" spans="1:7" x14ac:dyDescent="0.3">
      <c r="A139" s="2">
        <v>44379</v>
      </c>
      <c r="B139" s="1" t="s">
        <v>6</v>
      </c>
      <c r="C139" s="1" t="s">
        <v>7</v>
      </c>
      <c r="D139" s="1" t="s">
        <v>10</v>
      </c>
      <c r="E139" s="1">
        <v>1450</v>
      </c>
      <c r="F139" s="1">
        <v>20</v>
      </c>
      <c r="G139" s="1">
        <v>29000</v>
      </c>
    </row>
    <row r="140" spans="1:7" x14ac:dyDescent="0.3">
      <c r="A140" s="2">
        <v>44383</v>
      </c>
      <c r="B140" s="1" t="s">
        <v>22</v>
      </c>
      <c r="C140" s="1" t="s">
        <v>21</v>
      </c>
      <c r="D140" s="1" t="s">
        <v>13</v>
      </c>
      <c r="E140" s="1">
        <v>1999</v>
      </c>
      <c r="F140" s="1">
        <v>23</v>
      </c>
      <c r="G140" s="1">
        <v>45977</v>
      </c>
    </row>
    <row r="141" spans="1:7" x14ac:dyDescent="0.3">
      <c r="A141" s="2">
        <v>44387</v>
      </c>
      <c r="B141" s="1" t="s">
        <v>9</v>
      </c>
      <c r="C141" s="1" t="s">
        <v>7</v>
      </c>
      <c r="D141" s="1" t="s">
        <v>23</v>
      </c>
      <c r="E141" s="1">
        <v>800</v>
      </c>
      <c r="F141" s="1">
        <v>43</v>
      </c>
      <c r="G141" s="1">
        <v>34400</v>
      </c>
    </row>
    <row r="142" spans="1:7" x14ac:dyDescent="0.3">
      <c r="A142" s="2">
        <v>44391</v>
      </c>
      <c r="B142" s="1" t="s">
        <v>14</v>
      </c>
      <c r="C142" s="1" t="s">
        <v>16</v>
      </c>
      <c r="D142" s="1" t="s">
        <v>20</v>
      </c>
      <c r="E142" s="1">
        <v>100</v>
      </c>
      <c r="F142" s="1">
        <v>41</v>
      </c>
      <c r="G142" s="1">
        <v>4100</v>
      </c>
    </row>
    <row r="143" spans="1:7" x14ac:dyDescent="0.3">
      <c r="A143" s="2">
        <v>44395</v>
      </c>
      <c r="B143" s="1" t="s">
        <v>6</v>
      </c>
      <c r="C143" s="1" t="s">
        <v>15</v>
      </c>
      <c r="D143" s="1" t="s">
        <v>20</v>
      </c>
      <c r="E143" s="1">
        <v>13999</v>
      </c>
      <c r="F143" s="1">
        <v>37</v>
      </c>
      <c r="G143" s="1">
        <v>517963</v>
      </c>
    </row>
    <row r="144" spans="1:7" x14ac:dyDescent="0.3">
      <c r="A144" s="2">
        <v>44399</v>
      </c>
      <c r="B144" s="1" t="s">
        <v>11</v>
      </c>
      <c r="C144" s="1" t="s">
        <v>19</v>
      </c>
      <c r="D144" s="1" t="s">
        <v>17</v>
      </c>
      <c r="E144" s="1">
        <v>22000</v>
      </c>
      <c r="F144" s="1">
        <v>45</v>
      </c>
      <c r="G144" s="1">
        <v>990000</v>
      </c>
    </row>
    <row r="145" spans="1:7" x14ac:dyDescent="0.3">
      <c r="A145" s="2">
        <v>44403</v>
      </c>
      <c r="B145" s="1" t="s">
        <v>18</v>
      </c>
      <c r="C145" s="1" t="s">
        <v>19</v>
      </c>
      <c r="D145" s="1" t="s">
        <v>23</v>
      </c>
      <c r="E145" s="1">
        <v>89999</v>
      </c>
      <c r="F145" s="1">
        <v>15</v>
      </c>
      <c r="G145" s="1">
        <v>1349985</v>
      </c>
    </row>
    <row r="146" spans="1:7" x14ac:dyDescent="0.3">
      <c r="A146" s="2">
        <v>44407</v>
      </c>
      <c r="B146" s="1" t="s">
        <v>6</v>
      </c>
      <c r="C146" s="1" t="s">
        <v>7</v>
      </c>
      <c r="D146" s="1" t="s">
        <v>17</v>
      </c>
      <c r="E146" s="1">
        <v>13999</v>
      </c>
      <c r="F146" s="1">
        <v>22</v>
      </c>
      <c r="G146" s="1">
        <v>307978</v>
      </c>
    </row>
    <row r="147" spans="1:7" x14ac:dyDescent="0.3">
      <c r="A147" s="2">
        <v>44411</v>
      </c>
      <c r="B147" s="1" t="s">
        <v>9</v>
      </c>
      <c r="C147" s="1" t="s">
        <v>21</v>
      </c>
      <c r="D147" s="1" t="s">
        <v>13</v>
      </c>
      <c r="E147" s="1">
        <v>2900</v>
      </c>
      <c r="F147" s="1">
        <v>20</v>
      </c>
      <c r="G147" s="1">
        <v>58000</v>
      </c>
    </row>
    <row r="148" spans="1:7" x14ac:dyDescent="0.3">
      <c r="A148" s="2">
        <v>44415</v>
      </c>
      <c r="B148" s="1" t="s">
        <v>18</v>
      </c>
      <c r="C148" s="1" t="s">
        <v>19</v>
      </c>
      <c r="D148" s="1" t="s">
        <v>17</v>
      </c>
      <c r="E148" s="1">
        <v>33000</v>
      </c>
      <c r="F148" s="1">
        <v>16</v>
      </c>
      <c r="G148" s="1">
        <v>528000</v>
      </c>
    </row>
    <row r="149" spans="1:7" x14ac:dyDescent="0.3">
      <c r="A149" s="2">
        <v>44419</v>
      </c>
      <c r="B149" s="1" t="s">
        <v>9</v>
      </c>
      <c r="C149" s="1" t="s">
        <v>19</v>
      </c>
      <c r="D149" s="1" t="s">
        <v>10</v>
      </c>
      <c r="E149" s="1">
        <v>22000</v>
      </c>
      <c r="F149" s="1">
        <v>17</v>
      </c>
      <c r="G149" s="1">
        <v>374000</v>
      </c>
    </row>
    <row r="150" spans="1:7" x14ac:dyDescent="0.3">
      <c r="A150" s="2">
        <v>44423</v>
      </c>
      <c r="B150" s="1" t="s">
        <v>9</v>
      </c>
      <c r="C150" s="1" t="s">
        <v>21</v>
      </c>
      <c r="D150" s="1" t="s">
        <v>10</v>
      </c>
      <c r="E150" s="1">
        <v>45000</v>
      </c>
      <c r="F150" s="1">
        <v>50</v>
      </c>
      <c r="G150" s="1">
        <v>2250000</v>
      </c>
    </row>
    <row r="151" spans="1:7" x14ac:dyDescent="0.3">
      <c r="A151" s="2">
        <v>44427</v>
      </c>
      <c r="B151" s="1" t="s">
        <v>18</v>
      </c>
      <c r="C151" s="1" t="s">
        <v>15</v>
      </c>
      <c r="D151" s="1" t="s">
        <v>13</v>
      </c>
      <c r="E151" s="1">
        <v>499</v>
      </c>
      <c r="F151" s="1">
        <v>4</v>
      </c>
      <c r="G151" s="1">
        <v>1996</v>
      </c>
    </row>
    <row r="152" spans="1:7" x14ac:dyDescent="0.3">
      <c r="A152" s="2">
        <v>44431</v>
      </c>
      <c r="B152" s="1" t="s">
        <v>22</v>
      </c>
      <c r="C152" s="1" t="s">
        <v>21</v>
      </c>
      <c r="D152" s="1" t="s">
        <v>17</v>
      </c>
      <c r="E152" s="1">
        <v>590</v>
      </c>
      <c r="F152" s="1">
        <v>43</v>
      </c>
      <c r="G152" s="1">
        <v>25370</v>
      </c>
    </row>
    <row r="153" spans="1:7" x14ac:dyDescent="0.3">
      <c r="A153" s="2">
        <v>44435</v>
      </c>
      <c r="B153" s="1" t="s">
        <v>11</v>
      </c>
      <c r="C153" s="1" t="s">
        <v>21</v>
      </c>
      <c r="D153" s="1" t="s">
        <v>10</v>
      </c>
      <c r="E153" s="1">
        <v>590</v>
      </c>
      <c r="F153" s="1">
        <v>42</v>
      </c>
      <c r="G153" s="1">
        <v>24780</v>
      </c>
    </row>
    <row r="154" spans="1:7" x14ac:dyDescent="0.3">
      <c r="A154" s="2">
        <v>44439</v>
      </c>
      <c r="B154" s="1" t="s">
        <v>14</v>
      </c>
      <c r="C154" s="1" t="s">
        <v>16</v>
      </c>
      <c r="D154" s="1" t="s">
        <v>8</v>
      </c>
      <c r="E154" s="1">
        <v>12000</v>
      </c>
      <c r="F154" s="1">
        <v>9</v>
      </c>
      <c r="G154" s="1">
        <v>108000</v>
      </c>
    </row>
    <row r="155" spans="1:7" x14ac:dyDescent="0.3">
      <c r="A155" s="2">
        <v>44443</v>
      </c>
      <c r="B155" s="1" t="s">
        <v>18</v>
      </c>
      <c r="C155" s="1" t="s">
        <v>19</v>
      </c>
      <c r="D155" s="1" t="s">
        <v>23</v>
      </c>
      <c r="E155" s="1">
        <v>52000</v>
      </c>
      <c r="F155" s="1">
        <v>40</v>
      </c>
      <c r="G155" s="1">
        <v>2080000</v>
      </c>
    </row>
    <row r="156" spans="1:7" x14ac:dyDescent="0.3">
      <c r="A156" s="2">
        <v>44447</v>
      </c>
      <c r="B156" s="1" t="s">
        <v>18</v>
      </c>
      <c r="C156" s="1" t="s">
        <v>12</v>
      </c>
      <c r="D156" s="1" t="s">
        <v>17</v>
      </c>
      <c r="E156" s="1">
        <v>7999</v>
      </c>
      <c r="F156" s="1">
        <v>14</v>
      </c>
      <c r="G156" s="1">
        <v>111986</v>
      </c>
    </row>
    <row r="157" spans="1:7" x14ac:dyDescent="0.3">
      <c r="A157" s="2">
        <v>44451</v>
      </c>
      <c r="B157" s="1" t="s">
        <v>9</v>
      </c>
      <c r="C157" s="1" t="s">
        <v>12</v>
      </c>
      <c r="D157" s="1" t="s">
        <v>20</v>
      </c>
      <c r="E157" s="1">
        <v>5000</v>
      </c>
      <c r="F157" s="1">
        <v>9</v>
      </c>
      <c r="G157" s="1">
        <v>45000</v>
      </c>
    </row>
    <row r="158" spans="1:7" x14ac:dyDescent="0.3">
      <c r="A158" s="2">
        <v>44455</v>
      </c>
      <c r="B158" s="1" t="s">
        <v>18</v>
      </c>
      <c r="C158" s="1" t="s">
        <v>19</v>
      </c>
      <c r="D158" s="1" t="s">
        <v>17</v>
      </c>
      <c r="E158" s="1">
        <v>79999</v>
      </c>
      <c r="F158" s="1">
        <v>10</v>
      </c>
      <c r="G158" s="1">
        <v>799990</v>
      </c>
    </row>
    <row r="159" spans="1:7" x14ac:dyDescent="0.3">
      <c r="A159" s="2">
        <v>44459</v>
      </c>
      <c r="B159" s="1" t="s">
        <v>22</v>
      </c>
      <c r="C159" s="1" t="s">
        <v>15</v>
      </c>
      <c r="D159" s="1" t="s">
        <v>13</v>
      </c>
      <c r="E159" s="1">
        <v>1999</v>
      </c>
      <c r="F159" s="1">
        <v>37</v>
      </c>
      <c r="G159" s="1">
        <v>73963</v>
      </c>
    </row>
    <row r="160" spans="1:7" x14ac:dyDescent="0.3">
      <c r="A160" s="2">
        <v>44463</v>
      </c>
      <c r="B160" s="1" t="s">
        <v>18</v>
      </c>
      <c r="C160" s="1" t="s">
        <v>19</v>
      </c>
      <c r="D160" s="1" t="s">
        <v>17</v>
      </c>
      <c r="E160" s="1">
        <v>89999</v>
      </c>
      <c r="F160" s="1">
        <v>29</v>
      </c>
      <c r="G160" s="1">
        <v>2609971</v>
      </c>
    </row>
    <row r="161" spans="1:7" x14ac:dyDescent="0.3">
      <c r="A161" s="2">
        <v>44467</v>
      </c>
      <c r="B161" s="1" t="s">
        <v>11</v>
      </c>
      <c r="C161" s="1" t="s">
        <v>19</v>
      </c>
      <c r="D161" s="1" t="s">
        <v>8</v>
      </c>
      <c r="E161" s="1">
        <v>799</v>
      </c>
      <c r="F161" s="1">
        <v>44</v>
      </c>
      <c r="G161" s="1">
        <v>35156</v>
      </c>
    </row>
    <row r="162" spans="1:7" x14ac:dyDescent="0.3">
      <c r="A162" s="2">
        <v>44471</v>
      </c>
      <c r="B162" s="1" t="s">
        <v>18</v>
      </c>
      <c r="C162" s="1" t="s">
        <v>19</v>
      </c>
      <c r="D162" s="1" t="s">
        <v>10</v>
      </c>
      <c r="E162" s="1">
        <v>3990</v>
      </c>
      <c r="F162" s="1">
        <v>31</v>
      </c>
      <c r="G162" s="1">
        <v>123690</v>
      </c>
    </row>
    <row r="163" spans="1:7" x14ac:dyDescent="0.3">
      <c r="A163" s="2">
        <v>44475</v>
      </c>
      <c r="B163" s="1" t="s">
        <v>9</v>
      </c>
      <c r="C163" s="1" t="s">
        <v>19</v>
      </c>
      <c r="D163" s="1" t="s">
        <v>13</v>
      </c>
      <c r="E163" s="1">
        <v>52000</v>
      </c>
      <c r="F163" s="1">
        <v>29</v>
      </c>
      <c r="G163" s="1">
        <v>1508000</v>
      </c>
    </row>
    <row r="164" spans="1:7" x14ac:dyDescent="0.3">
      <c r="A164" s="2">
        <v>44479</v>
      </c>
      <c r="B164" s="1" t="s">
        <v>9</v>
      </c>
      <c r="C164" s="1" t="s">
        <v>7</v>
      </c>
      <c r="D164" s="1" t="s">
        <v>17</v>
      </c>
      <c r="E164" s="1">
        <v>13999</v>
      </c>
      <c r="F164" s="1">
        <v>34</v>
      </c>
      <c r="G164" s="1">
        <v>475966</v>
      </c>
    </row>
    <row r="165" spans="1:7" x14ac:dyDescent="0.3">
      <c r="A165" s="2">
        <v>44483</v>
      </c>
      <c r="B165" s="1" t="s">
        <v>14</v>
      </c>
      <c r="C165" s="1" t="s">
        <v>16</v>
      </c>
      <c r="D165" s="1" t="s">
        <v>13</v>
      </c>
      <c r="E165" s="1">
        <v>14500</v>
      </c>
      <c r="F165" s="1">
        <v>29</v>
      </c>
      <c r="G165" s="1">
        <v>420500</v>
      </c>
    </row>
    <row r="166" spans="1:7" x14ac:dyDescent="0.3">
      <c r="A166" s="2">
        <v>44487</v>
      </c>
      <c r="B166" s="1" t="s">
        <v>18</v>
      </c>
      <c r="C166" s="1" t="s">
        <v>12</v>
      </c>
      <c r="D166" s="1" t="s">
        <v>23</v>
      </c>
      <c r="E166" s="1">
        <v>23999</v>
      </c>
      <c r="F166" s="1">
        <v>25</v>
      </c>
      <c r="G166" s="1">
        <v>599975</v>
      </c>
    </row>
    <row r="167" spans="1:7" x14ac:dyDescent="0.3">
      <c r="A167" s="2">
        <v>44491</v>
      </c>
      <c r="B167" s="1" t="s">
        <v>18</v>
      </c>
      <c r="C167" s="1" t="s">
        <v>12</v>
      </c>
      <c r="D167" s="1" t="s">
        <v>17</v>
      </c>
      <c r="E167" s="1">
        <v>1250</v>
      </c>
      <c r="F167" s="1">
        <v>31</v>
      </c>
      <c r="G167" s="1">
        <v>38750</v>
      </c>
    </row>
    <row r="168" spans="1:7" x14ac:dyDescent="0.3">
      <c r="A168" s="2">
        <v>44495</v>
      </c>
      <c r="B168" s="1" t="s">
        <v>22</v>
      </c>
      <c r="C168" s="1" t="s">
        <v>15</v>
      </c>
      <c r="D168" s="1" t="s">
        <v>17</v>
      </c>
      <c r="E168" s="1">
        <v>35600</v>
      </c>
      <c r="F168" s="1">
        <v>16</v>
      </c>
      <c r="G168" s="1">
        <v>569600</v>
      </c>
    </row>
    <row r="169" spans="1:7" x14ac:dyDescent="0.3">
      <c r="A169" s="2">
        <v>44499</v>
      </c>
      <c r="B169" s="1" t="s">
        <v>14</v>
      </c>
      <c r="C169" s="1" t="s">
        <v>16</v>
      </c>
      <c r="D169" s="1" t="s">
        <v>17</v>
      </c>
      <c r="E169" s="1">
        <v>65000</v>
      </c>
      <c r="F169" s="1">
        <v>48</v>
      </c>
      <c r="G169" s="1">
        <v>3120000</v>
      </c>
    </row>
    <row r="170" spans="1:7" x14ac:dyDescent="0.3">
      <c r="A170" s="2">
        <v>44503</v>
      </c>
      <c r="B170" s="1" t="s">
        <v>11</v>
      </c>
      <c r="C170" s="1" t="s">
        <v>16</v>
      </c>
      <c r="D170" s="1" t="s">
        <v>23</v>
      </c>
      <c r="E170" s="1">
        <v>12000</v>
      </c>
      <c r="F170" s="1">
        <v>22</v>
      </c>
      <c r="G170" s="1">
        <v>264000</v>
      </c>
    </row>
    <row r="171" spans="1:7" x14ac:dyDescent="0.3">
      <c r="A171" s="2">
        <v>44507</v>
      </c>
      <c r="B171" s="1" t="s">
        <v>22</v>
      </c>
      <c r="C171" s="1" t="s">
        <v>21</v>
      </c>
      <c r="D171" s="1" t="s">
        <v>17</v>
      </c>
      <c r="E171" s="1">
        <v>699</v>
      </c>
      <c r="F171" s="1">
        <v>6</v>
      </c>
      <c r="G171" s="1">
        <v>4194</v>
      </c>
    </row>
    <row r="172" spans="1:7" x14ac:dyDescent="0.3">
      <c r="A172" s="2">
        <v>44511</v>
      </c>
      <c r="B172" s="1" t="s">
        <v>22</v>
      </c>
      <c r="C172" s="1" t="s">
        <v>15</v>
      </c>
      <c r="D172" s="1" t="s">
        <v>13</v>
      </c>
      <c r="E172" s="1">
        <v>990</v>
      </c>
      <c r="F172" s="1">
        <v>12</v>
      </c>
      <c r="G172" s="1">
        <v>11880</v>
      </c>
    </row>
    <row r="173" spans="1:7" x14ac:dyDescent="0.3">
      <c r="A173" s="2">
        <v>44515</v>
      </c>
      <c r="B173" s="1" t="s">
        <v>22</v>
      </c>
      <c r="C173" s="1" t="s">
        <v>21</v>
      </c>
      <c r="D173" s="1" t="s">
        <v>8</v>
      </c>
      <c r="E173" s="1">
        <v>450</v>
      </c>
      <c r="F173" s="1">
        <v>44</v>
      </c>
      <c r="G173" s="1">
        <v>19800</v>
      </c>
    </row>
    <row r="174" spans="1:7" x14ac:dyDescent="0.3">
      <c r="A174" s="2">
        <v>44519</v>
      </c>
      <c r="B174" s="1" t="s">
        <v>22</v>
      </c>
      <c r="C174" s="1" t="s">
        <v>15</v>
      </c>
      <c r="D174" s="1" t="s">
        <v>8</v>
      </c>
      <c r="E174" s="1">
        <v>1499</v>
      </c>
      <c r="F174" s="1">
        <v>15</v>
      </c>
      <c r="G174" s="1">
        <v>22485</v>
      </c>
    </row>
    <row r="175" spans="1:7" x14ac:dyDescent="0.3">
      <c r="A175" s="2">
        <v>44523</v>
      </c>
      <c r="B175" s="1" t="s">
        <v>6</v>
      </c>
      <c r="C175" s="1" t="s">
        <v>7</v>
      </c>
      <c r="D175" s="1" t="s">
        <v>20</v>
      </c>
      <c r="E175" s="1">
        <v>499</v>
      </c>
      <c r="F175" s="1">
        <v>26</v>
      </c>
      <c r="G175" s="1">
        <v>12974</v>
      </c>
    </row>
    <row r="176" spans="1:7" x14ac:dyDescent="0.3">
      <c r="A176" s="2">
        <v>44527</v>
      </c>
      <c r="B176" s="1" t="s">
        <v>18</v>
      </c>
      <c r="C176" s="1" t="s">
        <v>12</v>
      </c>
      <c r="D176" s="1" t="s">
        <v>20</v>
      </c>
      <c r="E176" s="1">
        <v>960</v>
      </c>
      <c r="F176" s="1">
        <v>16</v>
      </c>
      <c r="G176" s="1">
        <v>15360</v>
      </c>
    </row>
    <row r="177" spans="1:7" x14ac:dyDescent="0.3">
      <c r="A177" s="2">
        <v>44531</v>
      </c>
      <c r="B177" s="1" t="s">
        <v>11</v>
      </c>
      <c r="C177" s="1" t="s">
        <v>15</v>
      </c>
      <c r="D177" s="1" t="s">
        <v>17</v>
      </c>
      <c r="E177" s="1">
        <v>5599</v>
      </c>
      <c r="F177" s="1">
        <v>35</v>
      </c>
      <c r="G177" s="1">
        <v>195965</v>
      </c>
    </row>
    <row r="178" spans="1:7" x14ac:dyDescent="0.3">
      <c r="A178" s="2">
        <v>44535</v>
      </c>
      <c r="B178" s="1" t="s">
        <v>14</v>
      </c>
      <c r="C178" s="1" t="s">
        <v>16</v>
      </c>
      <c r="D178" s="1" t="s">
        <v>8</v>
      </c>
      <c r="E178" s="1">
        <v>89</v>
      </c>
      <c r="F178" s="1">
        <v>36</v>
      </c>
      <c r="G178" s="1">
        <v>3204</v>
      </c>
    </row>
    <row r="179" spans="1:7" x14ac:dyDescent="0.3">
      <c r="A179" s="2">
        <v>44539</v>
      </c>
      <c r="B179" s="1" t="s">
        <v>6</v>
      </c>
      <c r="C179" s="1" t="s">
        <v>7</v>
      </c>
      <c r="D179" s="1" t="s">
        <v>13</v>
      </c>
      <c r="E179" s="1">
        <v>2550</v>
      </c>
      <c r="F179" s="1">
        <v>20</v>
      </c>
      <c r="G179" s="1">
        <v>51000</v>
      </c>
    </row>
    <row r="180" spans="1:7" x14ac:dyDescent="0.3">
      <c r="A180" s="2">
        <v>44543</v>
      </c>
      <c r="B180" s="1" t="s">
        <v>6</v>
      </c>
      <c r="C180" s="1" t="s">
        <v>7</v>
      </c>
      <c r="D180" s="1" t="s">
        <v>8</v>
      </c>
      <c r="E180" s="1">
        <v>1450</v>
      </c>
      <c r="F180" s="1">
        <v>47</v>
      </c>
      <c r="G180" s="1">
        <v>68150</v>
      </c>
    </row>
    <row r="181" spans="1:7" x14ac:dyDescent="0.3">
      <c r="A181" s="2">
        <v>44547</v>
      </c>
      <c r="B181" s="1" t="s">
        <v>22</v>
      </c>
      <c r="C181" s="1" t="s">
        <v>21</v>
      </c>
      <c r="D181" s="1" t="s">
        <v>17</v>
      </c>
      <c r="E181" s="1">
        <v>2900</v>
      </c>
      <c r="F181" s="1">
        <v>6</v>
      </c>
      <c r="G181" s="1">
        <v>17400</v>
      </c>
    </row>
    <row r="182" spans="1:7" x14ac:dyDescent="0.3">
      <c r="A182" s="2">
        <v>44551</v>
      </c>
      <c r="B182" s="1" t="s">
        <v>14</v>
      </c>
      <c r="C182" s="1" t="s">
        <v>16</v>
      </c>
      <c r="D182" s="1" t="s">
        <v>20</v>
      </c>
      <c r="E182" s="1">
        <v>120</v>
      </c>
      <c r="F182" s="1">
        <v>6</v>
      </c>
      <c r="G182" s="1">
        <v>720</v>
      </c>
    </row>
    <row r="183" spans="1:7" x14ac:dyDescent="0.3">
      <c r="A183" s="2">
        <v>44555</v>
      </c>
      <c r="B183" s="1" t="s">
        <v>18</v>
      </c>
      <c r="C183" s="1" t="s">
        <v>19</v>
      </c>
      <c r="D183" s="1" t="s">
        <v>20</v>
      </c>
      <c r="E183" s="1">
        <v>52000</v>
      </c>
      <c r="F183" s="1">
        <v>41</v>
      </c>
      <c r="G183" s="1">
        <v>2132000</v>
      </c>
    </row>
    <row r="184" spans="1:7" x14ac:dyDescent="0.3">
      <c r="A184" s="2">
        <v>44559</v>
      </c>
      <c r="B184" s="1" t="s">
        <v>22</v>
      </c>
      <c r="C184" s="1" t="s">
        <v>21</v>
      </c>
      <c r="D184" s="1" t="s">
        <v>13</v>
      </c>
      <c r="E184" s="1">
        <v>590</v>
      </c>
      <c r="F184" s="1">
        <v>29</v>
      </c>
      <c r="G184" s="1">
        <v>17110</v>
      </c>
    </row>
    <row r="185" spans="1:7" x14ac:dyDescent="0.3">
      <c r="A185" s="2">
        <v>44563</v>
      </c>
      <c r="B185" s="1" t="s">
        <v>18</v>
      </c>
      <c r="C185" s="1" t="s">
        <v>15</v>
      </c>
      <c r="D185" s="1" t="s">
        <v>23</v>
      </c>
      <c r="E185" s="1">
        <v>7999</v>
      </c>
      <c r="F185" s="1">
        <v>31</v>
      </c>
      <c r="G185" s="1">
        <v>247969</v>
      </c>
    </row>
    <row r="186" spans="1:7" x14ac:dyDescent="0.3">
      <c r="A186" s="2">
        <v>44567</v>
      </c>
      <c r="B186" s="1" t="s">
        <v>9</v>
      </c>
      <c r="C186" s="1" t="s">
        <v>16</v>
      </c>
      <c r="D186" s="1" t="s">
        <v>13</v>
      </c>
      <c r="E186" s="1">
        <v>999</v>
      </c>
      <c r="F186" s="1">
        <v>34</v>
      </c>
      <c r="G186" s="1">
        <v>33966</v>
      </c>
    </row>
    <row r="187" spans="1:7" x14ac:dyDescent="0.3">
      <c r="A187" s="2">
        <v>44571</v>
      </c>
      <c r="B187" s="1" t="s">
        <v>11</v>
      </c>
      <c r="C187" s="1" t="s">
        <v>21</v>
      </c>
      <c r="D187" s="1" t="s">
        <v>8</v>
      </c>
      <c r="E187" s="1">
        <v>990</v>
      </c>
      <c r="F187" s="1">
        <v>43</v>
      </c>
      <c r="G187" s="1">
        <v>42570</v>
      </c>
    </row>
    <row r="188" spans="1:7" x14ac:dyDescent="0.3">
      <c r="A188" s="2">
        <v>44575</v>
      </c>
      <c r="B188" s="1" t="s">
        <v>18</v>
      </c>
      <c r="C188" s="1" t="s">
        <v>19</v>
      </c>
      <c r="D188" s="1" t="s">
        <v>8</v>
      </c>
      <c r="E188" s="1">
        <v>11999</v>
      </c>
      <c r="F188" s="1">
        <v>37</v>
      </c>
      <c r="G188" s="1">
        <v>443963</v>
      </c>
    </row>
    <row r="189" spans="1:7" x14ac:dyDescent="0.3">
      <c r="A189" s="2">
        <v>44579</v>
      </c>
      <c r="B189" s="1" t="s">
        <v>18</v>
      </c>
      <c r="C189" s="1" t="s">
        <v>12</v>
      </c>
      <c r="D189" s="1" t="s">
        <v>8</v>
      </c>
      <c r="E189" s="1">
        <v>960</v>
      </c>
      <c r="F189" s="1">
        <v>7</v>
      </c>
      <c r="G189" s="1">
        <v>6720</v>
      </c>
    </row>
    <row r="190" spans="1:7" x14ac:dyDescent="0.3">
      <c r="A190" s="2">
        <v>44583</v>
      </c>
      <c r="B190" s="1" t="s">
        <v>6</v>
      </c>
      <c r="C190" s="1" t="s">
        <v>7</v>
      </c>
      <c r="D190" s="1" t="s">
        <v>13</v>
      </c>
      <c r="E190" s="1">
        <v>1450</v>
      </c>
      <c r="F190" s="1">
        <v>19</v>
      </c>
      <c r="G190" s="1">
        <v>27550</v>
      </c>
    </row>
    <row r="191" spans="1:7" x14ac:dyDescent="0.3">
      <c r="A191" s="2">
        <v>44587</v>
      </c>
      <c r="B191" s="1" t="s">
        <v>22</v>
      </c>
      <c r="C191" s="1" t="s">
        <v>21</v>
      </c>
      <c r="D191" s="1" t="s">
        <v>10</v>
      </c>
      <c r="E191" s="1">
        <v>450</v>
      </c>
      <c r="F191" s="1">
        <v>47</v>
      </c>
      <c r="G191" s="1">
        <v>21150</v>
      </c>
    </row>
    <row r="192" spans="1:7" x14ac:dyDescent="0.3">
      <c r="A192" s="2">
        <v>44591</v>
      </c>
      <c r="B192" s="1" t="s">
        <v>9</v>
      </c>
      <c r="C192" s="1" t="s">
        <v>21</v>
      </c>
      <c r="D192" s="1" t="s">
        <v>13</v>
      </c>
      <c r="E192" s="1">
        <v>1499</v>
      </c>
      <c r="F192" s="1">
        <v>37</v>
      </c>
      <c r="G192" s="1">
        <v>55463</v>
      </c>
    </row>
    <row r="193" spans="1:7" x14ac:dyDescent="0.3">
      <c r="A193" s="2">
        <v>44595</v>
      </c>
      <c r="B193" s="1" t="s">
        <v>11</v>
      </c>
      <c r="C193" s="1" t="s">
        <v>19</v>
      </c>
      <c r="D193" s="1" t="s">
        <v>10</v>
      </c>
      <c r="E193" s="1">
        <v>79999</v>
      </c>
      <c r="F193" s="1">
        <v>4</v>
      </c>
      <c r="G193" s="1">
        <v>319996</v>
      </c>
    </row>
    <row r="194" spans="1:7" x14ac:dyDescent="0.3">
      <c r="A194" s="2">
        <v>44599</v>
      </c>
      <c r="B194" s="1" t="s">
        <v>11</v>
      </c>
      <c r="C194" s="1" t="s">
        <v>16</v>
      </c>
      <c r="D194" s="1" t="s">
        <v>20</v>
      </c>
      <c r="E194" s="1">
        <v>999</v>
      </c>
      <c r="F194" s="1">
        <v>45</v>
      </c>
      <c r="G194" s="1">
        <v>44955</v>
      </c>
    </row>
    <row r="195" spans="1:7" x14ac:dyDescent="0.3">
      <c r="A195" s="2">
        <v>44603</v>
      </c>
      <c r="B195" s="1" t="s">
        <v>18</v>
      </c>
      <c r="C195" s="1" t="s">
        <v>19</v>
      </c>
      <c r="D195" s="1" t="s">
        <v>8</v>
      </c>
      <c r="E195" s="1">
        <v>52000</v>
      </c>
      <c r="F195" s="1">
        <v>15</v>
      </c>
      <c r="G195" s="1">
        <v>780000</v>
      </c>
    </row>
    <row r="196" spans="1:7" x14ac:dyDescent="0.3">
      <c r="A196" s="2">
        <v>44607</v>
      </c>
      <c r="B196" s="1" t="s">
        <v>18</v>
      </c>
      <c r="C196" s="1" t="s">
        <v>19</v>
      </c>
      <c r="D196" s="1" t="s">
        <v>17</v>
      </c>
      <c r="E196" s="1">
        <v>52000</v>
      </c>
      <c r="F196" s="1">
        <v>39</v>
      </c>
      <c r="G196" s="1">
        <v>2028000</v>
      </c>
    </row>
    <row r="197" spans="1:7" x14ac:dyDescent="0.3">
      <c r="A197" s="2">
        <v>44611</v>
      </c>
      <c r="B197" s="1" t="s">
        <v>18</v>
      </c>
      <c r="C197" s="1" t="s">
        <v>12</v>
      </c>
      <c r="D197" s="1" t="s">
        <v>13</v>
      </c>
      <c r="E197" s="1">
        <v>960</v>
      </c>
      <c r="F197" s="1">
        <v>33</v>
      </c>
      <c r="G197" s="1">
        <v>31680</v>
      </c>
    </row>
    <row r="198" spans="1:7" x14ac:dyDescent="0.3">
      <c r="A198" s="2">
        <v>44615</v>
      </c>
      <c r="B198" s="1" t="s">
        <v>18</v>
      </c>
      <c r="C198" s="1" t="s">
        <v>12</v>
      </c>
      <c r="D198" s="1" t="s">
        <v>13</v>
      </c>
      <c r="E198" s="1">
        <v>1450</v>
      </c>
      <c r="F198" s="1">
        <v>34</v>
      </c>
      <c r="G198" s="1">
        <v>49300</v>
      </c>
    </row>
    <row r="199" spans="1:7" x14ac:dyDescent="0.3">
      <c r="A199" s="2">
        <v>44619</v>
      </c>
      <c r="B199" s="1" t="s">
        <v>18</v>
      </c>
      <c r="C199" s="1" t="s">
        <v>15</v>
      </c>
      <c r="D199" s="1" t="s">
        <v>17</v>
      </c>
      <c r="E199" s="1">
        <v>2999</v>
      </c>
      <c r="F199" s="1">
        <v>33</v>
      </c>
      <c r="G199" s="1">
        <v>98967</v>
      </c>
    </row>
    <row r="200" spans="1:7" x14ac:dyDescent="0.3">
      <c r="A200" s="2">
        <v>44623</v>
      </c>
      <c r="B200" s="1" t="s">
        <v>11</v>
      </c>
      <c r="C200" s="1" t="s">
        <v>12</v>
      </c>
      <c r="D200" s="1" t="s">
        <v>20</v>
      </c>
      <c r="E200" s="1">
        <v>1250</v>
      </c>
      <c r="F200" s="1">
        <v>14</v>
      </c>
      <c r="G200" s="1">
        <v>17500</v>
      </c>
    </row>
    <row r="201" spans="1:7" x14ac:dyDescent="0.3">
      <c r="A201" s="2">
        <v>44627</v>
      </c>
      <c r="B201" s="1" t="s">
        <v>14</v>
      </c>
      <c r="C201" s="1" t="s">
        <v>16</v>
      </c>
      <c r="D201" s="1" t="s">
        <v>8</v>
      </c>
      <c r="E201" s="1">
        <v>120</v>
      </c>
      <c r="F201" s="1">
        <v>41</v>
      </c>
      <c r="G201" s="1">
        <v>4920</v>
      </c>
    </row>
    <row r="202" spans="1:7" x14ac:dyDescent="0.3">
      <c r="A202" s="2">
        <v>44631</v>
      </c>
      <c r="B202" s="1" t="s">
        <v>9</v>
      </c>
      <c r="C202" s="1" t="s">
        <v>7</v>
      </c>
      <c r="D202" s="1" t="s">
        <v>17</v>
      </c>
      <c r="E202" s="1">
        <v>1450</v>
      </c>
      <c r="F202" s="1">
        <v>22</v>
      </c>
      <c r="G202" s="1">
        <v>31900</v>
      </c>
    </row>
    <row r="203" spans="1:7" x14ac:dyDescent="0.3">
      <c r="A203" s="2">
        <v>44635</v>
      </c>
      <c r="B203" s="1" t="s">
        <v>9</v>
      </c>
      <c r="C203" s="1" t="s">
        <v>19</v>
      </c>
      <c r="D203" s="1" t="s">
        <v>8</v>
      </c>
      <c r="E203" s="1">
        <v>89999</v>
      </c>
      <c r="F203" s="1">
        <v>15</v>
      </c>
      <c r="G203" s="1">
        <v>1349985</v>
      </c>
    </row>
    <row r="204" spans="1:7" x14ac:dyDescent="0.3">
      <c r="A204" s="2">
        <v>44639</v>
      </c>
      <c r="B204" s="1" t="s">
        <v>22</v>
      </c>
      <c r="C204" s="1" t="s">
        <v>21</v>
      </c>
      <c r="D204" s="1" t="s">
        <v>13</v>
      </c>
      <c r="E204" s="1">
        <v>1999</v>
      </c>
      <c r="F204" s="1">
        <v>48</v>
      </c>
      <c r="G204" s="1">
        <v>95952</v>
      </c>
    </row>
    <row r="205" spans="1:7" x14ac:dyDescent="0.3">
      <c r="A205" s="2">
        <v>44643</v>
      </c>
      <c r="B205" s="1" t="s">
        <v>22</v>
      </c>
      <c r="C205" s="1" t="s">
        <v>15</v>
      </c>
      <c r="D205" s="1" t="s">
        <v>17</v>
      </c>
      <c r="E205" s="1">
        <v>2900</v>
      </c>
      <c r="F205" s="1">
        <v>49</v>
      </c>
      <c r="G205" s="1">
        <v>142100</v>
      </c>
    </row>
    <row r="206" spans="1:7" x14ac:dyDescent="0.3">
      <c r="A206" s="2">
        <v>44647</v>
      </c>
      <c r="B206" s="1" t="s">
        <v>18</v>
      </c>
      <c r="C206" s="1" t="s">
        <v>19</v>
      </c>
      <c r="D206" s="1" t="s">
        <v>20</v>
      </c>
      <c r="E206" s="1">
        <v>700</v>
      </c>
      <c r="F206" s="1">
        <v>50</v>
      </c>
      <c r="G206" s="1">
        <v>35000</v>
      </c>
    </row>
    <row r="207" spans="1:7" x14ac:dyDescent="0.3">
      <c r="A207" s="2">
        <v>44651</v>
      </c>
      <c r="B207" s="1" t="s">
        <v>14</v>
      </c>
      <c r="C207" s="1" t="s">
        <v>16</v>
      </c>
      <c r="D207" s="1" t="s">
        <v>17</v>
      </c>
      <c r="E207" s="1">
        <v>200</v>
      </c>
      <c r="F207" s="1">
        <v>41</v>
      </c>
      <c r="G207" s="1">
        <v>8200</v>
      </c>
    </row>
    <row r="208" spans="1:7" x14ac:dyDescent="0.3">
      <c r="A208" s="2">
        <v>44655</v>
      </c>
      <c r="B208" s="1" t="s">
        <v>6</v>
      </c>
      <c r="C208" s="1" t="s">
        <v>7</v>
      </c>
      <c r="D208" s="1" t="s">
        <v>13</v>
      </c>
      <c r="E208" s="1">
        <v>499</v>
      </c>
      <c r="F208" s="1">
        <v>29</v>
      </c>
      <c r="G208" s="1">
        <v>14471</v>
      </c>
    </row>
    <row r="209" spans="1:7" x14ac:dyDescent="0.3">
      <c r="A209" s="2">
        <v>44659</v>
      </c>
      <c r="B209" s="1" t="s">
        <v>11</v>
      </c>
      <c r="C209" s="1" t="s">
        <v>7</v>
      </c>
      <c r="D209" s="1" t="s">
        <v>23</v>
      </c>
      <c r="E209" s="1">
        <v>5599</v>
      </c>
      <c r="F209" s="1">
        <v>36</v>
      </c>
      <c r="G209" s="1">
        <v>201564</v>
      </c>
    </row>
    <row r="210" spans="1:7" x14ac:dyDescent="0.3">
      <c r="A210" s="2">
        <v>44663</v>
      </c>
      <c r="B210" s="1" t="s">
        <v>9</v>
      </c>
      <c r="C210" s="1" t="s">
        <v>16</v>
      </c>
      <c r="D210" s="1" t="s">
        <v>17</v>
      </c>
      <c r="E210" s="1">
        <v>100</v>
      </c>
      <c r="F210" s="1">
        <v>39</v>
      </c>
      <c r="G210" s="1">
        <v>3900</v>
      </c>
    </row>
    <row r="211" spans="1:7" x14ac:dyDescent="0.3">
      <c r="A211" s="2">
        <v>44667</v>
      </c>
      <c r="B211" s="1" t="s">
        <v>18</v>
      </c>
      <c r="C211" s="1" t="s">
        <v>15</v>
      </c>
      <c r="D211" s="1" t="s">
        <v>17</v>
      </c>
      <c r="E211" s="1">
        <v>79999</v>
      </c>
      <c r="F211" s="1">
        <v>9</v>
      </c>
      <c r="G211" s="1">
        <v>719991</v>
      </c>
    </row>
    <row r="212" spans="1:7" x14ac:dyDescent="0.3">
      <c r="A212" s="2">
        <v>44671</v>
      </c>
      <c r="B212" s="1" t="s">
        <v>11</v>
      </c>
      <c r="C212" s="1" t="s">
        <v>19</v>
      </c>
      <c r="D212" s="1" t="s">
        <v>13</v>
      </c>
      <c r="E212" s="1">
        <v>700</v>
      </c>
      <c r="F212" s="1">
        <v>38</v>
      </c>
      <c r="G212" s="1">
        <v>26600</v>
      </c>
    </row>
    <row r="213" spans="1:7" x14ac:dyDescent="0.3">
      <c r="A213" s="2">
        <v>44675</v>
      </c>
      <c r="B213" s="1" t="s">
        <v>18</v>
      </c>
      <c r="C213" s="1" t="s">
        <v>12</v>
      </c>
      <c r="D213" s="1" t="s">
        <v>8</v>
      </c>
      <c r="E213" s="1">
        <v>550</v>
      </c>
      <c r="F213" s="1">
        <v>25</v>
      </c>
      <c r="G213" s="1">
        <v>13750</v>
      </c>
    </row>
    <row r="214" spans="1:7" x14ac:dyDescent="0.3">
      <c r="A214" s="2">
        <v>44679</v>
      </c>
      <c r="B214" s="1" t="s">
        <v>22</v>
      </c>
      <c r="C214" s="1" t="s">
        <v>21</v>
      </c>
      <c r="D214" s="1" t="s">
        <v>17</v>
      </c>
      <c r="E214" s="1">
        <v>1499</v>
      </c>
      <c r="F214" s="1">
        <v>16</v>
      </c>
      <c r="G214" s="1">
        <v>23984</v>
      </c>
    </row>
    <row r="215" spans="1:7" x14ac:dyDescent="0.3">
      <c r="A215" s="2">
        <v>44683</v>
      </c>
      <c r="B215" s="1" t="s">
        <v>14</v>
      </c>
      <c r="C215" s="1" t="s">
        <v>16</v>
      </c>
      <c r="D215" s="1" t="s">
        <v>20</v>
      </c>
      <c r="E215" s="1">
        <v>120</v>
      </c>
      <c r="F215" s="1">
        <v>22</v>
      </c>
      <c r="G215" s="1">
        <v>2640</v>
      </c>
    </row>
    <row r="216" spans="1:7" x14ac:dyDescent="0.3">
      <c r="A216" s="2">
        <v>44687</v>
      </c>
      <c r="B216" s="1" t="s">
        <v>6</v>
      </c>
      <c r="C216" s="1" t="s">
        <v>7</v>
      </c>
      <c r="D216" s="1" t="s">
        <v>10</v>
      </c>
      <c r="E216" s="1">
        <v>1450</v>
      </c>
      <c r="F216" s="1">
        <v>20</v>
      </c>
      <c r="G216" s="1">
        <v>29000</v>
      </c>
    </row>
    <row r="217" spans="1:7" x14ac:dyDescent="0.3">
      <c r="A217" s="2">
        <v>44691</v>
      </c>
      <c r="B217" s="1" t="s">
        <v>22</v>
      </c>
      <c r="C217" s="1" t="s">
        <v>15</v>
      </c>
      <c r="D217" s="1" t="s">
        <v>13</v>
      </c>
      <c r="E217" s="1">
        <v>1999</v>
      </c>
      <c r="F217" s="1">
        <v>23</v>
      </c>
      <c r="G217" s="1">
        <v>45977</v>
      </c>
    </row>
    <row r="218" spans="1:7" x14ac:dyDescent="0.3">
      <c r="A218" s="2">
        <v>44695</v>
      </c>
      <c r="B218" s="1" t="s">
        <v>6</v>
      </c>
      <c r="C218" s="1" t="s">
        <v>7</v>
      </c>
      <c r="D218" s="1" t="s">
        <v>17</v>
      </c>
      <c r="E218" s="1">
        <v>800</v>
      </c>
      <c r="F218" s="1">
        <v>43</v>
      </c>
      <c r="G218" s="1">
        <v>34400</v>
      </c>
    </row>
    <row r="219" spans="1:7" x14ac:dyDescent="0.3">
      <c r="A219" s="2">
        <v>44699</v>
      </c>
      <c r="B219" s="1" t="s">
        <v>11</v>
      </c>
      <c r="C219" s="1" t="s">
        <v>16</v>
      </c>
      <c r="D219" s="1" t="s">
        <v>20</v>
      </c>
      <c r="E219" s="1">
        <v>100</v>
      </c>
      <c r="F219" s="1">
        <v>41</v>
      </c>
      <c r="G219" s="1">
        <v>4100</v>
      </c>
    </row>
    <row r="220" spans="1:7" x14ac:dyDescent="0.3">
      <c r="A220" s="2">
        <v>44703</v>
      </c>
      <c r="B220" s="1" t="s">
        <v>6</v>
      </c>
      <c r="C220" s="1" t="s">
        <v>7</v>
      </c>
      <c r="D220" s="1" t="s">
        <v>13</v>
      </c>
      <c r="E220" s="1">
        <v>13999</v>
      </c>
      <c r="F220" s="1">
        <v>37</v>
      </c>
      <c r="G220" s="1">
        <v>517963</v>
      </c>
    </row>
    <row r="221" spans="1:7" x14ac:dyDescent="0.3">
      <c r="A221" s="2">
        <v>44707</v>
      </c>
      <c r="B221" s="1" t="s">
        <v>18</v>
      </c>
      <c r="C221" s="1" t="s">
        <v>19</v>
      </c>
      <c r="D221" s="1" t="s">
        <v>17</v>
      </c>
      <c r="E221" s="1">
        <v>22000</v>
      </c>
      <c r="F221" s="1">
        <v>45</v>
      </c>
      <c r="G221" s="1">
        <v>990000</v>
      </c>
    </row>
    <row r="222" spans="1:7" x14ac:dyDescent="0.3">
      <c r="A222" s="2">
        <v>44711</v>
      </c>
      <c r="B222" s="1" t="s">
        <v>18</v>
      </c>
      <c r="C222" s="1" t="s">
        <v>19</v>
      </c>
      <c r="D222" s="1" t="s">
        <v>23</v>
      </c>
      <c r="E222" s="1">
        <v>89999</v>
      </c>
      <c r="F222" s="1">
        <v>15</v>
      </c>
      <c r="G222" s="1">
        <v>1349985</v>
      </c>
    </row>
    <row r="223" spans="1:7" x14ac:dyDescent="0.3">
      <c r="A223" s="2">
        <v>44715</v>
      </c>
      <c r="B223" s="1" t="s">
        <v>9</v>
      </c>
      <c r="C223" s="1" t="s">
        <v>15</v>
      </c>
      <c r="D223" s="1" t="s">
        <v>17</v>
      </c>
      <c r="E223" s="1">
        <v>13999</v>
      </c>
      <c r="F223" s="1">
        <v>22</v>
      </c>
      <c r="G223" s="1">
        <v>307978</v>
      </c>
    </row>
    <row r="224" spans="1:7" x14ac:dyDescent="0.3">
      <c r="A224" s="2">
        <v>44719</v>
      </c>
      <c r="B224" s="1" t="s">
        <v>11</v>
      </c>
      <c r="C224" s="1" t="s">
        <v>21</v>
      </c>
      <c r="D224" s="1" t="s">
        <v>13</v>
      </c>
      <c r="E224" s="1">
        <v>2900</v>
      </c>
      <c r="F224" s="1">
        <v>20</v>
      </c>
      <c r="G224" s="1">
        <v>58000</v>
      </c>
    </row>
    <row r="225" spans="1:7" x14ac:dyDescent="0.3">
      <c r="A225" s="2">
        <v>44723</v>
      </c>
      <c r="B225" s="1" t="s">
        <v>9</v>
      </c>
      <c r="C225" s="1" t="s">
        <v>19</v>
      </c>
      <c r="D225" s="1" t="s">
        <v>17</v>
      </c>
      <c r="E225" s="1">
        <v>33000</v>
      </c>
      <c r="F225" s="1">
        <v>16</v>
      </c>
      <c r="G225" s="1">
        <v>528000</v>
      </c>
    </row>
    <row r="226" spans="1:7" x14ac:dyDescent="0.3">
      <c r="A226" s="2">
        <v>44727</v>
      </c>
      <c r="B226" s="1" t="s">
        <v>18</v>
      </c>
      <c r="C226" s="1" t="s">
        <v>15</v>
      </c>
      <c r="D226" s="1" t="s">
        <v>10</v>
      </c>
      <c r="E226" s="1">
        <v>22000</v>
      </c>
      <c r="F226" s="1">
        <v>17</v>
      </c>
      <c r="G226" s="1">
        <v>374000</v>
      </c>
    </row>
    <row r="227" spans="1:7" x14ac:dyDescent="0.3">
      <c r="A227" s="2">
        <v>44731</v>
      </c>
      <c r="B227" s="1" t="s">
        <v>22</v>
      </c>
      <c r="C227" s="1" t="s">
        <v>21</v>
      </c>
      <c r="D227" s="1" t="s">
        <v>10</v>
      </c>
      <c r="E227" s="1">
        <v>699</v>
      </c>
      <c r="F227" s="1">
        <v>50</v>
      </c>
      <c r="G227" s="1">
        <v>34950</v>
      </c>
    </row>
    <row r="228" spans="1:7" x14ac:dyDescent="0.3">
      <c r="A228" s="2">
        <v>44735</v>
      </c>
      <c r="B228" s="1" t="s">
        <v>11</v>
      </c>
      <c r="C228" s="1" t="s">
        <v>19</v>
      </c>
      <c r="D228" s="1" t="s">
        <v>13</v>
      </c>
      <c r="E228" s="1">
        <v>499</v>
      </c>
      <c r="F228" s="1">
        <v>4</v>
      </c>
      <c r="G228" s="1">
        <v>1996</v>
      </c>
    </row>
    <row r="229" spans="1:7" x14ac:dyDescent="0.3">
      <c r="A229" s="2">
        <v>44739</v>
      </c>
      <c r="B229" s="1" t="s">
        <v>22</v>
      </c>
      <c r="C229" s="1" t="s">
        <v>21</v>
      </c>
      <c r="D229" s="1" t="s">
        <v>17</v>
      </c>
      <c r="E229" s="1">
        <v>590</v>
      </c>
      <c r="F229" s="1">
        <v>43</v>
      </c>
      <c r="G229" s="1">
        <v>25370</v>
      </c>
    </row>
    <row r="230" spans="1:7" x14ac:dyDescent="0.3">
      <c r="A230" s="2">
        <v>44743</v>
      </c>
      <c r="B230" s="1" t="s">
        <v>22</v>
      </c>
      <c r="C230" s="1" t="s">
        <v>21</v>
      </c>
      <c r="D230" s="1" t="s">
        <v>10</v>
      </c>
      <c r="E230" s="1">
        <v>590</v>
      </c>
      <c r="F230" s="1">
        <v>42</v>
      </c>
      <c r="G230" s="1">
        <v>24780</v>
      </c>
    </row>
    <row r="231" spans="1:7" x14ac:dyDescent="0.3">
      <c r="A231" s="2">
        <v>44747</v>
      </c>
      <c r="B231" s="1" t="s">
        <v>14</v>
      </c>
      <c r="C231" s="1" t="s">
        <v>16</v>
      </c>
      <c r="D231" s="1" t="s">
        <v>8</v>
      </c>
      <c r="E231" s="1">
        <v>120</v>
      </c>
      <c r="F231" s="1">
        <v>9</v>
      </c>
      <c r="G231" s="1">
        <v>1080</v>
      </c>
    </row>
    <row r="232" spans="1:7" x14ac:dyDescent="0.3">
      <c r="A232" s="2">
        <v>44751</v>
      </c>
      <c r="B232" s="1" t="s">
        <v>11</v>
      </c>
      <c r="C232" s="1" t="s">
        <v>19</v>
      </c>
      <c r="D232" s="1" t="s">
        <v>23</v>
      </c>
      <c r="E232" s="1">
        <v>52000</v>
      </c>
      <c r="F232" s="1">
        <v>40</v>
      </c>
      <c r="G232" s="1">
        <v>2080000</v>
      </c>
    </row>
    <row r="233" spans="1:7" x14ac:dyDescent="0.3">
      <c r="A233" s="2">
        <v>44755</v>
      </c>
      <c r="B233" s="1" t="s">
        <v>18</v>
      </c>
      <c r="C233" s="1" t="s">
        <v>15</v>
      </c>
      <c r="D233" s="1" t="s">
        <v>17</v>
      </c>
      <c r="E233" s="1">
        <v>7999</v>
      </c>
      <c r="F233" s="1">
        <v>14</v>
      </c>
      <c r="G233" s="1">
        <v>111986</v>
      </c>
    </row>
    <row r="234" spans="1:7" x14ac:dyDescent="0.3">
      <c r="A234" s="2">
        <v>44759</v>
      </c>
      <c r="B234" s="1" t="s">
        <v>11</v>
      </c>
      <c r="C234" s="1" t="s">
        <v>12</v>
      </c>
      <c r="D234" s="1" t="s">
        <v>20</v>
      </c>
      <c r="E234" s="1">
        <v>550</v>
      </c>
      <c r="F234" s="1">
        <v>9</v>
      </c>
      <c r="G234" s="1">
        <v>4950</v>
      </c>
    </row>
    <row r="235" spans="1:7" x14ac:dyDescent="0.3">
      <c r="A235" s="2">
        <v>44763</v>
      </c>
      <c r="B235" s="1" t="s">
        <v>18</v>
      </c>
      <c r="C235" s="1" t="s">
        <v>19</v>
      </c>
      <c r="D235" s="1" t="s">
        <v>17</v>
      </c>
      <c r="E235" s="1">
        <v>79999</v>
      </c>
      <c r="F235" s="1">
        <v>10</v>
      </c>
      <c r="G235" s="1">
        <v>799990</v>
      </c>
    </row>
    <row r="236" spans="1:7" x14ac:dyDescent="0.3">
      <c r="A236" s="2">
        <v>44767</v>
      </c>
      <c r="B236" s="1" t="s">
        <v>9</v>
      </c>
      <c r="C236" s="1" t="s">
        <v>15</v>
      </c>
      <c r="D236" s="1" t="s">
        <v>10</v>
      </c>
      <c r="E236" s="1">
        <v>1999</v>
      </c>
      <c r="F236" s="1">
        <v>37</v>
      </c>
      <c r="G236" s="1">
        <v>73963</v>
      </c>
    </row>
    <row r="237" spans="1:7" x14ac:dyDescent="0.3">
      <c r="A237" s="2">
        <v>44771</v>
      </c>
      <c r="B237" s="1" t="s">
        <v>11</v>
      </c>
      <c r="C237" s="1" t="s">
        <v>19</v>
      </c>
      <c r="D237" s="1" t="s">
        <v>17</v>
      </c>
      <c r="E237" s="1">
        <v>89999</v>
      </c>
      <c r="F237" s="1">
        <v>29</v>
      </c>
      <c r="G237" s="1">
        <v>2609971</v>
      </c>
    </row>
    <row r="238" spans="1:7" x14ac:dyDescent="0.3">
      <c r="A238" s="2">
        <v>44775</v>
      </c>
      <c r="B238" s="1" t="s">
        <v>18</v>
      </c>
      <c r="C238" s="1" t="s">
        <v>19</v>
      </c>
      <c r="D238" s="1" t="s">
        <v>8</v>
      </c>
      <c r="E238" s="1">
        <v>799</v>
      </c>
      <c r="F238" s="1">
        <v>44</v>
      </c>
      <c r="G238" s="1">
        <v>35156</v>
      </c>
    </row>
    <row r="239" spans="1:7" x14ac:dyDescent="0.3">
      <c r="A239" s="2">
        <v>44779</v>
      </c>
      <c r="B239" s="1" t="s">
        <v>18</v>
      </c>
      <c r="C239" s="1" t="s">
        <v>19</v>
      </c>
      <c r="D239" s="1" t="s">
        <v>23</v>
      </c>
      <c r="E239" s="1">
        <v>3990</v>
      </c>
      <c r="F239" s="1">
        <v>31</v>
      </c>
      <c r="G239" s="1">
        <v>123690</v>
      </c>
    </row>
    <row r="240" spans="1:7" x14ac:dyDescent="0.3">
      <c r="A240" s="2">
        <v>44783</v>
      </c>
      <c r="B240" s="1" t="s">
        <v>11</v>
      </c>
      <c r="C240" s="1" t="s">
        <v>15</v>
      </c>
      <c r="D240" s="1" t="s">
        <v>13</v>
      </c>
      <c r="E240" s="1">
        <v>52000</v>
      </c>
      <c r="F240" s="1">
        <v>29</v>
      </c>
      <c r="G240" s="1">
        <v>1508000</v>
      </c>
    </row>
    <row r="241" spans="1:7" x14ac:dyDescent="0.3">
      <c r="A241" s="2">
        <v>44787</v>
      </c>
      <c r="B241" s="1" t="s">
        <v>6</v>
      </c>
      <c r="C241" s="1" t="s">
        <v>7</v>
      </c>
      <c r="D241" s="1" t="s">
        <v>17</v>
      </c>
      <c r="E241" s="1">
        <v>13999</v>
      </c>
      <c r="F241" s="1">
        <v>34</v>
      </c>
      <c r="G241" s="1">
        <v>475966</v>
      </c>
    </row>
    <row r="242" spans="1:7" x14ac:dyDescent="0.3">
      <c r="A242" s="2">
        <v>44791</v>
      </c>
      <c r="B242" s="1" t="s">
        <v>11</v>
      </c>
      <c r="C242" s="1" t="s">
        <v>16</v>
      </c>
      <c r="D242" s="1" t="s">
        <v>13</v>
      </c>
      <c r="E242" s="1">
        <v>120</v>
      </c>
      <c r="F242" s="1">
        <v>29</v>
      </c>
      <c r="G242" s="1">
        <v>3480</v>
      </c>
    </row>
    <row r="243" spans="1:7" x14ac:dyDescent="0.3">
      <c r="A243" s="2">
        <v>44795</v>
      </c>
      <c r="B243" s="1" t="s">
        <v>18</v>
      </c>
      <c r="C243" s="1" t="s">
        <v>12</v>
      </c>
      <c r="D243" s="1" t="s">
        <v>8</v>
      </c>
      <c r="E243" s="1">
        <v>23999</v>
      </c>
      <c r="F243" s="1">
        <v>25</v>
      </c>
      <c r="G243" s="1">
        <v>599975</v>
      </c>
    </row>
    <row r="244" spans="1:7" x14ac:dyDescent="0.3">
      <c r="A244" s="2">
        <v>44799</v>
      </c>
      <c r="B244" s="1" t="s">
        <v>11</v>
      </c>
      <c r="C244" s="1" t="s">
        <v>12</v>
      </c>
      <c r="D244" s="1" t="s">
        <v>17</v>
      </c>
      <c r="E244" s="1">
        <v>1250</v>
      </c>
      <c r="F244" s="1">
        <v>31</v>
      </c>
      <c r="G244" s="1">
        <v>38750</v>
      </c>
    </row>
    <row r="245" spans="1:7" x14ac:dyDescent="0.3">
      <c r="A245" s="2">
        <v>44803</v>
      </c>
      <c r="B245" s="1" t="s">
        <v>22</v>
      </c>
      <c r="C245" s="1" t="s">
        <v>15</v>
      </c>
      <c r="D245" s="1" t="s">
        <v>17</v>
      </c>
      <c r="E245" s="1">
        <v>45000</v>
      </c>
      <c r="F245" s="1">
        <v>16</v>
      </c>
      <c r="G245" s="1">
        <v>720000</v>
      </c>
    </row>
    <row r="246" spans="1:7" x14ac:dyDescent="0.3">
      <c r="A246" s="2">
        <v>44807</v>
      </c>
      <c r="B246" s="1" t="s">
        <v>9</v>
      </c>
      <c r="C246" s="1" t="s">
        <v>16</v>
      </c>
      <c r="D246" s="1" t="s">
        <v>13</v>
      </c>
      <c r="E246" s="1">
        <v>120</v>
      </c>
      <c r="F246" s="1">
        <v>48</v>
      </c>
      <c r="G246" s="1">
        <v>5760</v>
      </c>
    </row>
    <row r="247" spans="1:7" x14ac:dyDescent="0.3">
      <c r="A247" s="2">
        <v>44811</v>
      </c>
      <c r="B247" s="1" t="s">
        <v>11</v>
      </c>
      <c r="C247" s="1" t="s">
        <v>15</v>
      </c>
      <c r="D247" s="1" t="s">
        <v>20</v>
      </c>
      <c r="E247" s="1">
        <v>25600</v>
      </c>
      <c r="F247" s="1">
        <v>22</v>
      </c>
      <c r="G247" s="1">
        <v>563200</v>
      </c>
    </row>
    <row r="248" spans="1:7" x14ac:dyDescent="0.3">
      <c r="A248" s="2">
        <v>44815</v>
      </c>
      <c r="B248" s="1" t="s">
        <v>22</v>
      </c>
      <c r="C248" s="1" t="s">
        <v>21</v>
      </c>
      <c r="D248" s="1" t="s">
        <v>17</v>
      </c>
      <c r="E248" s="1">
        <v>699</v>
      </c>
      <c r="F248" s="1">
        <v>6</v>
      </c>
      <c r="G248" s="1">
        <v>4194</v>
      </c>
    </row>
    <row r="249" spans="1:7" x14ac:dyDescent="0.3">
      <c r="A249" s="2">
        <v>44819</v>
      </c>
      <c r="B249" s="1" t="s">
        <v>22</v>
      </c>
      <c r="C249" s="1" t="s">
        <v>15</v>
      </c>
      <c r="D249" s="1" t="s">
        <v>13</v>
      </c>
      <c r="E249" s="1">
        <v>99620</v>
      </c>
      <c r="F249" s="1">
        <v>12</v>
      </c>
      <c r="G249" s="1">
        <v>1195440</v>
      </c>
    </row>
    <row r="250" spans="1:7" x14ac:dyDescent="0.3">
      <c r="A250" s="2">
        <v>44823</v>
      </c>
      <c r="B250" s="1" t="s">
        <v>11</v>
      </c>
      <c r="C250" s="1" t="s">
        <v>21</v>
      </c>
      <c r="D250" s="1" t="s">
        <v>23</v>
      </c>
      <c r="E250" s="1">
        <v>450</v>
      </c>
      <c r="F250" s="1">
        <v>44</v>
      </c>
      <c r="G250" s="1">
        <v>19800</v>
      </c>
    </row>
    <row r="251" spans="1:7" x14ac:dyDescent="0.3">
      <c r="A251" s="2">
        <v>44827</v>
      </c>
      <c r="B251" s="1" t="s">
        <v>22</v>
      </c>
      <c r="C251" s="1" t="s">
        <v>21</v>
      </c>
      <c r="D251" s="1" t="s">
        <v>13</v>
      </c>
      <c r="E251" s="1">
        <v>1499</v>
      </c>
      <c r="F251" s="1">
        <v>15</v>
      </c>
      <c r="G251" s="1">
        <v>22485</v>
      </c>
    </row>
    <row r="252" spans="1:7" x14ac:dyDescent="0.3">
      <c r="A252" s="2">
        <v>44831</v>
      </c>
      <c r="B252" s="1" t="s">
        <v>6</v>
      </c>
      <c r="C252" s="1" t="s">
        <v>15</v>
      </c>
      <c r="D252" s="1" t="s">
        <v>20</v>
      </c>
      <c r="E252" s="1">
        <v>49500</v>
      </c>
      <c r="F252" s="1">
        <v>26</v>
      </c>
      <c r="G252" s="1">
        <v>1287000</v>
      </c>
    </row>
    <row r="253" spans="1:7" x14ac:dyDescent="0.3">
      <c r="A253" s="2">
        <v>44835</v>
      </c>
      <c r="B253" s="1" t="s">
        <v>9</v>
      </c>
      <c r="C253" s="1" t="s">
        <v>12</v>
      </c>
      <c r="D253" s="1" t="s">
        <v>20</v>
      </c>
      <c r="E253" s="1">
        <v>960</v>
      </c>
      <c r="F253" s="1">
        <v>16</v>
      </c>
      <c r="G253" s="1">
        <v>15360</v>
      </c>
    </row>
    <row r="254" spans="1:7" x14ac:dyDescent="0.3">
      <c r="A254" s="2">
        <v>44839</v>
      </c>
      <c r="B254" s="1" t="s">
        <v>11</v>
      </c>
      <c r="C254" s="1" t="s">
        <v>7</v>
      </c>
      <c r="D254" s="1" t="s">
        <v>17</v>
      </c>
      <c r="E254" s="1">
        <v>5599</v>
      </c>
      <c r="F254" s="1">
        <v>35</v>
      </c>
      <c r="G254" s="1">
        <v>195965</v>
      </c>
    </row>
    <row r="255" spans="1:7" x14ac:dyDescent="0.3">
      <c r="A255" s="2">
        <v>44843</v>
      </c>
      <c r="B255" s="1" t="s">
        <v>14</v>
      </c>
      <c r="C255" s="1" t="s">
        <v>16</v>
      </c>
      <c r="D255" s="1" t="s">
        <v>8</v>
      </c>
      <c r="E255" s="1">
        <v>89</v>
      </c>
      <c r="F255" s="1">
        <v>36</v>
      </c>
      <c r="G255" s="1">
        <v>3204</v>
      </c>
    </row>
    <row r="256" spans="1:7" x14ac:dyDescent="0.3">
      <c r="A256" s="2">
        <v>44847</v>
      </c>
      <c r="B256" s="1" t="s">
        <v>6</v>
      </c>
      <c r="C256" s="1" t="s">
        <v>7</v>
      </c>
      <c r="D256" s="1" t="s">
        <v>23</v>
      </c>
      <c r="E256" s="1">
        <v>2550</v>
      </c>
      <c r="F256" s="1">
        <v>20</v>
      </c>
      <c r="G256" s="1">
        <v>51000</v>
      </c>
    </row>
    <row r="257" spans="1:7" x14ac:dyDescent="0.3">
      <c r="A257" s="2">
        <v>44851</v>
      </c>
      <c r="B257" s="1" t="s">
        <v>11</v>
      </c>
      <c r="C257" s="1" t="s">
        <v>15</v>
      </c>
      <c r="D257" s="1" t="s">
        <v>8</v>
      </c>
      <c r="E257" s="1">
        <v>14500</v>
      </c>
      <c r="F257" s="1">
        <v>47</v>
      </c>
      <c r="G257" s="1">
        <v>681500</v>
      </c>
    </row>
    <row r="258" spans="1:7" x14ac:dyDescent="0.3">
      <c r="A258" s="2">
        <v>44855</v>
      </c>
      <c r="B258" s="1" t="s">
        <v>22</v>
      </c>
      <c r="C258" s="1" t="s">
        <v>21</v>
      </c>
      <c r="D258" s="1" t="s">
        <v>17</v>
      </c>
      <c r="E258" s="1">
        <v>2900</v>
      </c>
      <c r="F258" s="1">
        <v>6</v>
      </c>
      <c r="G258" s="1">
        <v>17400</v>
      </c>
    </row>
    <row r="259" spans="1:7" x14ac:dyDescent="0.3">
      <c r="A259" s="2">
        <v>44859</v>
      </c>
      <c r="B259" s="1" t="s">
        <v>14</v>
      </c>
      <c r="C259" s="1" t="s">
        <v>16</v>
      </c>
      <c r="D259" s="1" t="s">
        <v>20</v>
      </c>
      <c r="E259" s="1">
        <v>120</v>
      </c>
      <c r="F259" s="1">
        <v>6</v>
      </c>
      <c r="G259" s="1">
        <v>720</v>
      </c>
    </row>
    <row r="260" spans="1:7" x14ac:dyDescent="0.3">
      <c r="A260" s="2">
        <v>44863</v>
      </c>
      <c r="B260" s="1" t="s">
        <v>18</v>
      </c>
      <c r="C260" s="1" t="s">
        <v>15</v>
      </c>
      <c r="D260" s="1" t="s">
        <v>13</v>
      </c>
      <c r="E260" s="1">
        <v>52000</v>
      </c>
      <c r="F260" s="1">
        <v>41</v>
      </c>
      <c r="G260" s="1">
        <v>2132000</v>
      </c>
    </row>
    <row r="261" spans="1:7" x14ac:dyDescent="0.3">
      <c r="A261" s="2">
        <v>44867</v>
      </c>
      <c r="B261" s="1" t="s">
        <v>9</v>
      </c>
      <c r="C261" s="1" t="s">
        <v>21</v>
      </c>
      <c r="D261" s="1" t="s">
        <v>10</v>
      </c>
      <c r="E261" s="1">
        <v>590</v>
      </c>
      <c r="F261" s="1">
        <v>29</v>
      </c>
      <c r="G261" s="1">
        <v>17110</v>
      </c>
    </row>
    <row r="262" spans="1:7" x14ac:dyDescent="0.3">
      <c r="A262" s="2">
        <v>44871</v>
      </c>
      <c r="B262" s="1" t="s">
        <v>18</v>
      </c>
      <c r="C262" s="1" t="s">
        <v>12</v>
      </c>
      <c r="D262" s="1" t="s">
        <v>20</v>
      </c>
      <c r="E262" s="1">
        <v>7999</v>
      </c>
      <c r="F262" s="1">
        <v>31</v>
      </c>
      <c r="G262" s="1">
        <v>247969</v>
      </c>
    </row>
    <row r="263" spans="1:7" x14ac:dyDescent="0.3">
      <c r="A263" s="2">
        <v>44875</v>
      </c>
      <c r="B263" s="1" t="s">
        <v>11</v>
      </c>
      <c r="C263" s="1" t="s">
        <v>16</v>
      </c>
      <c r="D263" s="1" t="s">
        <v>10</v>
      </c>
      <c r="E263" s="1">
        <v>999</v>
      </c>
      <c r="F263" s="1">
        <v>34</v>
      </c>
      <c r="G263" s="1">
        <v>33966</v>
      </c>
    </row>
    <row r="264" spans="1:7" x14ac:dyDescent="0.3">
      <c r="A264" s="2">
        <v>44879</v>
      </c>
      <c r="B264" s="1" t="s">
        <v>22</v>
      </c>
      <c r="C264" s="1" t="s">
        <v>15</v>
      </c>
      <c r="D264" s="1" t="s">
        <v>13</v>
      </c>
      <c r="E264" s="1">
        <v>990</v>
      </c>
      <c r="F264" s="1">
        <v>43</v>
      </c>
      <c r="G264" s="1">
        <v>42570</v>
      </c>
    </row>
    <row r="265" spans="1:7" x14ac:dyDescent="0.3">
      <c r="A265" s="2">
        <v>44883</v>
      </c>
      <c r="B265" s="1" t="s">
        <v>11</v>
      </c>
      <c r="C265" s="1" t="s">
        <v>19</v>
      </c>
      <c r="D265" s="1" t="s">
        <v>8</v>
      </c>
      <c r="E265" s="1">
        <v>11999</v>
      </c>
      <c r="F265" s="1">
        <v>37</v>
      </c>
      <c r="G265" s="1">
        <v>443963</v>
      </c>
    </row>
    <row r="266" spans="1:7" x14ac:dyDescent="0.3">
      <c r="A266" s="2">
        <v>44887</v>
      </c>
      <c r="B266" s="1" t="s">
        <v>9</v>
      </c>
      <c r="C266" s="1" t="s">
        <v>12</v>
      </c>
      <c r="D266" s="1" t="s">
        <v>8</v>
      </c>
      <c r="E266" s="1">
        <v>960</v>
      </c>
      <c r="F266" s="1">
        <v>7</v>
      </c>
      <c r="G266" s="1">
        <v>6720</v>
      </c>
    </row>
    <row r="267" spans="1:7" x14ac:dyDescent="0.3">
      <c r="A267" s="2">
        <v>44891</v>
      </c>
      <c r="B267" s="1" t="s">
        <v>6</v>
      </c>
      <c r="C267" s="1" t="s">
        <v>7</v>
      </c>
      <c r="D267" s="1" t="s">
        <v>13</v>
      </c>
      <c r="E267" s="1">
        <v>1450</v>
      </c>
      <c r="F267" s="1">
        <v>19</v>
      </c>
      <c r="G267" s="1">
        <v>27550</v>
      </c>
    </row>
    <row r="268" spans="1:7" x14ac:dyDescent="0.3">
      <c r="A268" s="2">
        <v>44895</v>
      </c>
      <c r="B268" s="1" t="s">
        <v>22</v>
      </c>
      <c r="C268" s="1" t="s">
        <v>21</v>
      </c>
      <c r="D268" s="1" t="s">
        <v>10</v>
      </c>
      <c r="E268" s="1">
        <v>450</v>
      </c>
      <c r="F268" s="1">
        <v>47</v>
      </c>
      <c r="G268" s="1">
        <v>21150</v>
      </c>
    </row>
    <row r="269" spans="1:7" x14ac:dyDescent="0.3">
      <c r="A269" s="2">
        <v>44899</v>
      </c>
      <c r="B269" s="1" t="s">
        <v>11</v>
      </c>
      <c r="C269" s="1" t="s">
        <v>15</v>
      </c>
      <c r="D269" s="1" t="s">
        <v>10</v>
      </c>
      <c r="E269" s="1">
        <v>1499</v>
      </c>
      <c r="F269" s="1">
        <v>37</v>
      </c>
      <c r="G269" s="1">
        <v>55463</v>
      </c>
    </row>
    <row r="270" spans="1:7" x14ac:dyDescent="0.3">
      <c r="A270" s="2">
        <v>44903</v>
      </c>
      <c r="B270" s="1" t="s">
        <v>18</v>
      </c>
      <c r="C270" s="1" t="s">
        <v>19</v>
      </c>
      <c r="D270" s="1" t="s">
        <v>10</v>
      </c>
      <c r="E270" s="1">
        <v>79999</v>
      </c>
      <c r="F270" s="1">
        <v>4</v>
      </c>
      <c r="G270" s="1">
        <v>319996</v>
      </c>
    </row>
    <row r="271" spans="1:7" x14ac:dyDescent="0.3">
      <c r="A271" s="2">
        <v>44907</v>
      </c>
      <c r="B271" s="1" t="s">
        <v>11</v>
      </c>
      <c r="C271" s="1" t="s">
        <v>16</v>
      </c>
      <c r="D271" s="1" t="s">
        <v>20</v>
      </c>
      <c r="E271" s="1">
        <v>999</v>
      </c>
      <c r="F271" s="1">
        <v>45</v>
      </c>
      <c r="G271" s="1">
        <v>44955</v>
      </c>
    </row>
    <row r="272" spans="1:7" x14ac:dyDescent="0.3">
      <c r="A272" s="2">
        <v>44911</v>
      </c>
      <c r="B272" s="1" t="s">
        <v>18</v>
      </c>
      <c r="C272" s="1" t="s">
        <v>19</v>
      </c>
      <c r="D272" s="1" t="s">
        <v>8</v>
      </c>
      <c r="E272" s="1">
        <v>52000</v>
      </c>
      <c r="F272" s="1">
        <v>15</v>
      </c>
      <c r="G272" s="1">
        <v>780000</v>
      </c>
    </row>
    <row r="273" spans="1:7" x14ac:dyDescent="0.3">
      <c r="A273" s="2">
        <v>44915</v>
      </c>
      <c r="B273" s="1" t="s">
        <v>9</v>
      </c>
      <c r="C273" s="1" t="s">
        <v>19</v>
      </c>
      <c r="D273" s="1" t="s">
        <v>17</v>
      </c>
      <c r="E273" s="1">
        <v>52000</v>
      </c>
      <c r="F273" s="1">
        <v>39</v>
      </c>
      <c r="G273" s="1">
        <v>2028000</v>
      </c>
    </row>
    <row r="274" spans="1:7" x14ac:dyDescent="0.3">
      <c r="A274" s="2">
        <v>44919</v>
      </c>
      <c r="B274" s="1" t="s">
        <v>11</v>
      </c>
      <c r="C274" s="1" t="s">
        <v>12</v>
      </c>
      <c r="D274" s="1" t="s">
        <v>17</v>
      </c>
      <c r="E274" s="1">
        <v>960</v>
      </c>
      <c r="F274" s="1">
        <v>33</v>
      </c>
      <c r="G274" s="1">
        <v>31680</v>
      </c>
    </row>
    <row r="275" spans="1:7" x14ac:dyDescent="0.3">
      <c r="A275" s="2">
        <v>44923</v>
      </c>
      <c r="B275" s="1" t="s">
        <v>18</v>
      </c>
      <c r="C275" s="1" t="s">
        <v>12</v>
      </c>
      <c r="D275" s="1" t="s">
        <v>13</v>
      </c>
      <c r="E275" s="1">
        <v>1450</v>
      </c>
      <c r="F275" s="1">
        <v>34</v>
      </c>
      <c r="G275" s="1">
        <v>49300</v>
      </c>
    </row>
    <row r="276" spans="1:7" x14ac:dyDescent="0.3">
      <c r="A276" s="2">
        <v>44913</v>
      </c>
      <c r="B276" s="1" t="s">
        <v>22</v>
      </c>
      <c r="C276" s="1" t="s">
        <v>21</v>
      </c>
      <c r="D276" s="1" t="s">
        <v>23</v>
      </c>
      <c r="E276" s="1">
        <v>2500</v>
      </c>
      <c r="F276" s="1">
        <v>100</v>
      </c>
      <c r="G276" s="1">
        <v>250000</v>
      </c>
    </row>
    <row r="277" spans="1:7" x14ac:dyDescent="0.3">
      <c r="A277" s="2">
        <v>44917</v>
      </c>
      <c r="B277" s="1" t="s">
        <v>9</v>
      </c>
      <c r="C277" s="1" t="s">
        <v>15</v>
      </c>
      <c r="D277" s="1" t="s">
        <v>23</v>
      </c>
      <c r="E277" s="1">
        <v>86540</v>
      </c>
      <c r="F277" s="1">
        <v>6</v>
      </c>
      <c r="G277" s="1">
        <v>519240</v>
      </c>
    </row>
    <row r="278" spans="1:7" x14ac:dyDescent="0.3">
      <c r="A278" s="2">
        <v>44922</v>
      </c>
      <c r="B278" s="1" t="s">
        <v>14</v>
      </c>
      <c r="C278" s="1" t="s">
        <v>16</v>
      </c>
      <c r="D278" s="1" t="s">
        <v>23</v>
      </c>
      <c r="E278" s="1">
        <v>550</v>
      </c>
      <c r="F278" s="1">
        <v>44</v>
      </c>
      <c r="G278" s="1">
        <v>24200</v>
      </c>
    </row>
    <row r="279" spans="1:7" x14ac:dyDescent="0.3">
      <c r="A279" s="2">
        <v>44925</v>
      </c>
      <c r="B279" s="1" t="s">
        <v>11</v>
      </c>
      <c r="C279" s="1" t="s">
        <v>19</v>
      </c>
      <c r="D279" s="1" t="s">
        <v>23</v>
      </c>
      <c r="E279" s="1">
        <v>65400</v>
      </c>
      <c r="F279" s="1">
        <v>19</v>
      </c>
      <c r="G279" s="1">
        <v>1242600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Sheet4</vt:lpstr>
      <vt:lpstr>Table_Maindata</vt:lpstr>
      <vt:lpstr>pivot_Table</vt:lpstr>
      <vt:lpstr>Maindata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ROJA V</cp:lastModifiedBy>
  <dcterms:created xsi:type="dcterms:W3CDTF">2026-04-22T05:42:17Z</dcterms:created>
  <dcterms:modified xsi:type="dcterms:W3CDTF">2026-04-22T07:14:06Z</dcterms:modified>
</cp:coreProperties>
</file>