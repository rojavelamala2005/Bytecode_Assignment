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Dataset" sheetId="2" r:id="rId1"/>
    <sheet name="Report_Refernce" sheetId="3" r:id="rId2"/>
    <sheet name="Sheet1" sheetId="4" r:id="rId3"/>
  </sheets>
  <definedNames>
    <definedName name="Day_Name">Dataset!$U$2:$U$22</definedName>
    <definedName name="Month">Dataset!$S$2:$S$22</definedName>
    <definedName name="Sales">Dataset!$K$2:$K$22</definedName>
    <definedName name="Year">Dataset!$R$2:$R$22</definedName>
    <definedName name="dell">Dataset!$W$2:$W$22</definedName>
    <definedName name="_xlnm._FilterDatabase" localSheetId="0" hidden="1">Dataset!$B$2:$W$22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<sst xmlns="http://schemas.openxmlformats.org/spreadsheetml/2006/main" count="184" uniqueCount="142">
  <si>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</si>
  <si>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</si>
  <si>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</si>
  <si>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</si>
  <si>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</si>
  <si>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</si>
  <si>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</si>
  <si>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</si>
  <si>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</si>
  <si>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</si>
  <si>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</si>
  <si>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</si>
  <si>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</si>
  <si>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</si>
  <si>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</si>
  <si>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</si>
  <si>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</si>
  <si>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</si>
  <si>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</si>
  <si>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</si>
  <si>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</si>
  <si>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</si>
  <si>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</si>
  <si>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</si>
  <si>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</si>
  <si>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</si>
  <si>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</si>
  <si>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</si>
  <si>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</si>
  <si>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</si>
  <si>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</si>
  <si>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</si>
  <si>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sita@@gmail.com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</si>
  <si>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</si>
  <si>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</si>
  <si>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</si>
  <si>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</si>
  <si>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</si>
  <si>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</si>
  <si>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</si>
  <si>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</si>
  <si>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</si>
  <si>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</si>
  <si>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</si>
  <si>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</si>
  <si>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</si>
  <si>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</si>
  <si>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</si>
  <si>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</si>
  <si>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</si>
  <si>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</si>
  <si>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</si>
  <si>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</si>
  <si>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</si>
  <si>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meena@@gmail.com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</si>
  <si>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</si>
  <si>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</si>
  <si>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</si>
  <si>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</si>
  <si>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</si>
  <si>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</si>
  <si>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</si>
  <si>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</si>
  <si>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</si>
  <si>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</si>
  <si>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</si>
  <si>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</si>
  <si>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</si>
  <si>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</si>
  <si>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kavya@@gmail.com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</si>
  <si>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</si>
  <si>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</si>
  <si>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</si>
  <si>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</si>
  <si>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</si>
  <si>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</si>
  <si>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</si>
  <si>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</si>
  <si>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</si>
  <si>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</si>
  <si>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</si>
  <si>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</si>
  <si>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rahul@@gmail.com</t>
  </si>
  <si>
    <t>ORD014</t>
  </si>
  <si>
    <t>Anjali</t>
  </si>
  <si>
    <t>anjali@gmailcom</t>
  </si>
  <si>
    <t>ORD015</t>
  </si>
  <si>
    <t>Kiran</t>
  </si>
  <si>
    <t>Shirt blue</t>
  </si>
  <si>
    <t>kiran@@gmail.com</t>
  </si>
  <si>
    <t>ORD016</t>
  </si>
  <si>
    <t>Meena</t>
  </si>
  <si>
    <t>meena@gmailcom</t>
  </si>
  <si>
    <t>ORD017</t>
  </si>
  <si>
    <t>John</t>
  </si>
  <si>
    <t>tshirt_blue</t>
  </si>
  <si>
    <t>john@@gmail.com</t>
  </si>
  <si>
    <t>ORD018</t>
  </si>
  <si>
    <t>POOJA</t>
  </si>
  <si>
    <t>pooja@gmailcom</t>
  </si>
  <si>
    <t>ORD019</t>
  </si>
  <si>
    <t>Vikram</t>
  </si>
  <si>
    <t>vikram@@gmail.com</t>
  </si>
  <si>
    <t>ORD020</t>
  </si>
  <si>
    <t>Kavya</t>
  </si>
  <si>
    <t>kavya@gmailcom</t>
  </si>
  <si>
    <t>Total Sales</t>
  </si>
  <si>
    <t>Jan</t>
  </si>
  <si>
    <t>Deliver Status</t>
  </si>
  <si>
    <t>Select Year</t>
  </si>
  <si>
    <t>Feb</t>
  </si>
  <si>
    <t>On Time Delivery</t>
  </si>
  <si>
    <t>Mar</t>
  </si>
  <si>
    <t>Late Delivery</t>
  </si>
  <si>
    <t>Apr</t>
  </si>
  <si>
    <t>Select Month</t>
  </si>
  <si>
    <t>May</t>
  </si>
  <si>
    <t>Jun</t>
  </si>
  <si>
    <t>sales</t>
  </si>
  <si>
    <t>count</t>
  </si>
  <si>
    <t>Select Day Name</t>
  </si>
  <si>
    <t>wed</t>
  </si>
  <si>
    <t>Jul</t>
  </si>
  <si>
    <t>Mon</t>
  </si>
  <si>
    <t>Aug</t>
  </si>
  <si>
    <t>Tue</t>
  </si>
  <si>
    <t>Total saleas</t>
  </si>
  <si>
    <t>Sep</t>
  </si>
  <si>
    <t>Wed</t>
  </si>
  <si>
    <t>Oct</t>
  </si>
  <si>
    <t>Thu</t>
  </si>
  <si>
    <t>Nov</t>
  </si>
  <si>
    <t>Fri</t>
  </si>
  <si>
    <t>Dec</t>
  </si>
  <si>
    <t>Sat</t>
  </si>
  <si>
    <t>Sun</t>
  </si>
  <si>
    <t>sun</t>
  </si>
  <si>
    <t>mon</t>
  </si>
  <si>
    <t>tue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</si>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</sst>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9" fontId="0" fillId="0" borderId="0" xfId="3" applyAlignment="1"/>
    <xf numFmtId="0" fontId="3" fillId="5" borderId="1" xfId="0" applyFont="1" applyFill="1" applyBorder="1"/>
    <xf numFmtId="0" fontId="0" fillId="0" borderId="1" xfId="0" applyBorder="1"/>
    <xf numFmtId="0" fontId="3" fillId="6" borderId="1" xfId="0" applyFont="1" applyFill="1" applyBorder="1"/>
    <xf numFmtId="180" fontId="0" fillId="0" borderId="1" xfId="0" applyNumberFormat="1" applyBorder="1"/>
    <xf numFmtId="0" fontId="3" fillId="0" borderId="0" xfId="0" applyFont="1"/>
    <xf numFmtId="1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5020" y="609600"/>
          <a:ext cx="9112250" cy="3060065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22"/>
  <sheetViews>
    <sheetView tabSelected="1" topLeftCell="M1" workbookViewId="0">
      <selection activeCell="M24" sqref="M24"/>
    </sheetView>
  </sheetViews>
  <sheetFormatPr defaultColWidth="9" defaultRowHeight="14.4"/>
  <cols>
    <col min="2" max="2" width="14.8148148148148" customWidth="1"/>
    <col min="3" max="3" width="16" customWidth="1"/>
    <col min="4" max="4" width="14.2685185185185" customWidth="1"/>
    <col min="5" max="5" width="10.6296296296296" customWidth="1"/>
    <col min="6" max="6" width="12.4537037037037" customWidth="1"/>
    <col min="7" max="7" width="13.9074074074074" customWidth="1"/>
    <col min="8" max="8" width="8.4537037037037" customWidth="1"/>
    <col min="9" max="9" width="18.9074074074074" customWidth="1"/>
    <col min="10" max="10" width="19.5462962962963" customWidth="1"/>
    <col min="11" max="11" width="13.9074074074074" customWidth="1"/>
    <col min="12" max="23" width="16.6296296296296" customWidth="1"/>
  </cols>
  <sheetData>
    <row r="2" spans="2:2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</row>
    <row r="3" spans="2:23">
      <c r="B3" s="7" t="s">
        <v>22</v>
      </c>
      <c r="C3" s="7" t="s">
        <v>23</v>
      </c>
      <c r="D3" s="7" t="s">
        <v>24</v>
      </c>
      <c r="E3" s="9">
        <v>44958</v>
      </c>
      <c r="F3" s="9">
        <v>44962</v>
      </c>
      <c r="G3" s="7" t="s">
        <v>25</v>
      </c>
      <c r="H3" s="7" t="s">
        <v>26</v>
      </c>
      <c r="I3" s="7" t="s">
        <v>27</v>
      </c>
      <c r="J3" s="11">
        <v>9876543210</v>
      </c>
      <c r="K3" s="7">
        <v>1200</v>
      </c>
      <c r="L3" s="7" t="str">
        <f>PROPER(C3)</f>
        <v>Ramesh Kumar</v>
      </c>
      <c r="M3" s="7" t="str">
        <f>_xlfn.SWITCH(D3,"AP","Andhra Pradesh","ap","Andhra Pradesh","Andhra ","Andhra Pradesh","andhra","Andhra Pradesh","TS","Telangana","telangana","Telangana","Andhra Pradesh","Andhra Pradesh")</f>
        <v>Andhra Pradesh</v>
      </c>
      <c r="N3" s="7" t="str">
        <f>PROPER(SUBSTITUTE(SUBSTITUTE(G3,"-"," "),"_"," "))</f>
        <v>Tshirt Blue</v>
      </c>
      <c r="O3" s="7" t="str">
        <f>PROPER(H3)</f>
        <v>Apparel</v>
      </c>
      <c r="P3" s="7" t="str">
        <f>SUBSTITUTE(SUBSTITUTE(SUBSTITUTE(I3,"@gmailcom","@gmail.com"),".gmail","@gmail"),"@@","@")</f>
        <v>ramesh@gmail.com</v>
      </c>
      <c r="Q3" s="7">
        <f>INT(SUBSTITUTE(J3,91,""))</f>
        <v>9876543210</v>
      </c>
      <c r="R3" s="7" t="str">
        <f>TEXT(E3,"yyyy")</f>
        <v>2023</v>
      </c>
      <c r="S3" s="7" t="str">
        <f>TEXT(E3,"mmm")</f>
        <v>Feb</v>
      </c>
      <c r="T3" s="7" t="str">
        <f>TEXT(E3,"dd")</f>
        <v>01</v>
      </c>
      <c r="U3" s="7" t="str">
        <f>TEXT(E3,"ddd")</f>
        <v>Wed</v>
      </c>
      <c r="V3" s="7">
        <f>DATEDIF(E3,F3,"D")</f>
        <v>4</v>
      </c>
      <c r="W3" s="7" t="str">
        <f>IF(V3&lt;=5,"On Time Delivery",IF(V3&lt;=10,"Late Delivery","Later"))</f>
        <v>On Time Delivery</v>
      </c>
    </row>
    <row r="4" spans="2:23">
      <c r="B4" s="7" t="s">
        <v>28</v>
      </c>
      <c r="C4" s="7" t="s">
        <v>29</v>
      </c>
      <c r="D4" s="7" t="s">
        <v>30</v>
      </c>
      <c r="E4" s="9">
        <v>44990</v>
      </c>
      <c r="F4" s="9">
        <v>44995</v>
      </c>
      <c r="G4" s="7" t="s">
        <v>31</v>
      </c>
      <c r="H4" s="7" t="s">
        <v>26</v>
      </c>
      <c r="I4" s="7" t="s">
        <v>32</v>
      </c>
      <c r="J4" s="11">
        <v>919876543211</v>
      </c>
      <c r="K4" s="7">
        <v>2500</v>
      </c>
      <c r="L4" s="7" t="str">
        <f t="shared" ref="L4:L22" si="0">PROPER(C4)</f>
        <v>Sita Devi</v>
      </c>
      <c r="M4" s="7" t="str">
        <f t="shared" ref="M4:M22" si="1">_xlfn.SWITCH(D4,"AP","Andhra Pradesh","ap","Andhra Pradesh","Andhra ","Andhra Pradesh","andhra","Andhra Pradesh","TS","Telangana","telangana","Telangana","Andhra Pradesh","Andhra Pradesh")</f>
        <v>Andhra Pradesh</v>
      </c>
      <c r="N4" s="7" t="str">
        <f t="shared" ref="N4:N22" si="2">PROPER(SUBSTITUTE(SUBSTITUTE(G4,"-"," "),"_"," "))</f>
        <v>Jeans Black</v>
      </c>
      <c r="O4" s="7" t="str">
        <f>PROPER(H4)</f>
        <v>Apparel</v>
      </c>
      <c r="P4" s="7" t="str">
        <f t="shared" ref="P4:P22" si="3">SUBSTITUTE(SUBSTITUTE(SUBSTITUTE(I4,"@gmailcom","@gmail.com"),".gmail","@gmail"),"@@","@")</f>
        <v>sita@gmail.com</v>
      </c>
      <c r="Q4" s="7">
        <f t="shared" ref="Q4:Q22" si="4">INT(SUBSTITUTE(J4,91,""))</f>
        <v>9876543211</v>
      </c>
      <c r="R4" s="7" t="str">
        <f t="shared" ref="R4:R22" si="5">TEXT(E4,"yyyy")</f>
        <v>2023</v>
      </c>
      <c r="S4" s="7" t="str">
        <f t="shared" ref="S4:S22" si="6">TEXT(E4,"mmm")</f>
        <v>Mar</v>
      </c>
      <c r="T4" s="7" t="str">
        <f t="shared" ref="T4:T22" si="7">TEXT(E4,"dd")</f>
        <v>05</v>
      </c>
      <c r="U4" s="7" t="str">
        <f t="shared" ref="U4:U22" si="8">TEXT(E4,"ddd")</f>
        <v>Sun</v>
      </c>
      <c r="V4" s="7">
        <f t="shared" ref="V4:V22" si="9">DATEDIF(E4,F4,"D")</f>
        <v>5</v>
      </c>
      <c r="W4" s="7" t="str">
        <f t="shared" ref="W4:W22" si="10">IF(V4&lt;=5,"On Time Delivery",IF(V4&lt;=10,"Late Delivery","Later"))</f>
        <v>On Time Delivery</v>
      </c>
    </row>
    <row r="5" spans="2:23">
      <c r="B5" s="7" t="s">
        <v>33</v>
      </c>
      <c r="C5" s="7" t="s">
        <v>34</v>
      </c>
      <c r="D5" s="7" t="s">
        <v>35</v>
      </c>
      <c r="E5" s="9">
        <v>45031</v>
      </c>
      <c r="F5" s="9">
        <v>45036</v>
      </c>
      <c r="G5" s="7" t="s">
        <v>36</v>
      </c>
      <c r="H5" s="7" t="s">
        <v>37</v>
      </c>
      <c r="I5" s="7" t="s">
        <v>38</v>
      </c>
      <c r="J5" s="11">
        <v>987654321</v>
      </c>
      <c r="K5" s="7">
        <v>3200</v>
      </c>
      <c r="L5" s="7" t="str">
        <f t="shared" si="0"/>
        <v>Rahul</v>
      </c>
      <c r="M5" s="7" t="str">
        <f t="shared" si="1"/>
        <v>Andhra Pradesh</v>
      </c>
      <c r="N5" s="7" t="str">
        <f t="shared" si="2"/>
        <v>Sneakers White</v>
      </c>
      <c r="O5" s="7" t="str">
        <f t="shared" ref="O4:O22" si="11">PROPER(H5)</f>
        <v>Footwear</v>
      </c>
      <c r="P5" s="7" t="str">
        <f t="shared" si="3"/>
        <v>rahul@gmail.com</v>
      </c>
      <c r="Q5" s="7">
        <f t="shared" si="4"/>
        <v>987654321</v>
      </c>
      <c r="R5" s="7" t="str">
        <f t="shared" si="5"/>
        <v>2023</v>
      </c>
      <c r="S5" s="7" t="str">
        <f t="shared" si="6"/>
        <v>Apr</v>
      </c>
      <c r="T5" s="7" t="str">
        <f t="shared" si="7"/>
        <v>15</v>
      </c>
      <c r="U5" s="7" t="str">
        <f t="shared" si="8"/>
        <v>Sat</v>
      </c>
      <c r="V5" s="7">
        <f t="shared" si="9"/>
        <v>5</v>
      </c>
      <c r="W5" s="7" t="str">
        <f t="shared" si="10"/>
        <v>On Time Delivery</v>
      </c>
    </row>
    <row r="6" spans="2:23">
      <c r="B6" s="7" t="s">
        <v>39</v>
      </c>
      <c r="C6" s="7" t="s">
        <v>40</v>
      </c>
      <c r="D6" s="7" t="s">
        <v>41</v>
      </c>
      <c r="E6" s="9">
        <v>45058</v>
      </c>
      <c r="F6" s="9">
        <v>45064</v>
      </c>
      <c r="G6" s="7" t="s">
        <v>42</v>
      </c>
      <c r="H6" s="7" t="s">
        <v>26</v>
      </c>
      <c r="I6" s="7" t="s">
        <v>43</v>
      </c>
      <c r="J6" s="11">
        <v>9876543210</v>
      </c>
      <c r="K6" s="7">
        <v>1800</v>
      </c>
      <c r="L6" s="7" t="str">
        <f t="shared" si="0"/>
        <v>Anjali Reddy</v>
      </c>
      <c r="M6" s="7" t="str">
        <f t="shared" si="1"/>
        <v>Telangana</v>
      </c>
      <c r="N6" s="7" t="str">
        <f t="shared" si="2"/>
        <v>Kurti Red</v>
      </c>
      <c r="O6" s="7" t="str">
        <f t="shared" si="11"/>
        <v>Apparel</v>
      </c>
      <c r="P6" s="7" t="str">
        <f t="shared" si="3"/>
        <v>anjali@gmail.com</v>
      </c>
      <c r="Q6" s="7">
        <f t="shared" si="4"/>
        <v>9876543210</v>
      </c>
      <c r="R6" s="7" t="str">
        <f t="shared" si="5"/>
        <v>2023</v>
      </c>
      <c r="S6" s="7" t="str">
        <f t="shared" si="6"/>
        <v>May</v>
      </c>
      <c r="T6" s="7" t="str">
        <f t="shared" si="7"/>
        <v>12</v>
      </c>
      <c r="U6" s="7" t="str">
        <f t="shared" si="8"/>
        <v>Fri</v>
      </c>
      <c r="V6" s="7">
        <f t="shared" si="9"/>
        <v>6</v>
      </c>
      <c r="W6" s="7" t="str">
        <f t="shared" si="10"/>
        <v>Late Delivery</v>
      </c>
    </row>
    <row r="7" spans="2:23">
      <c r="B7" s="7" t="s">
        <v>44</v>
      </c>
      <c r="C7" s="7" t="s">
        <v>45</v>
      </c>
      <c r="D7" s="7" t="s">
        <v>46</v>
      </c>
      <c r="E7" s="9">
        <v>45084</v>
      </c>
      <c r="F7" s="9">
        <v>45089</v>
      </c>
      <c r="G7" s="7" t="s">
        <v>47</v>
      </c>
      <c r="H7" s="7" t="s">
        <v>48</v>
      </c>
      <c r="I7" s="7" t="s">
        <v>49</v>
      </c>
      <c r="J7" s="11">
        <v>9876543210</v>
      </c>
      <c r="K7" s="7">
        <v>1500</v>
      </c>
      <c r="L7" s="7" t="str">
        <f t="shared" si="0"/>
        <v>Kiran</v>
      </c>
      <c r="M7" s="7" t="str">
        <f t="shared" si="1"/>
        <v>Telangana</v>
      </c>
      <c r="N7" s="7" t="str">
        <f t="shared" si="2"/>
        <v>Shirt Blue</v>
      </c>
      <c r="O7" s="7" t="str">
        <f t="shared" si="11"/>
        <v>Apparel</v>
      </c>
      <c r="P7" s="7" t="str">
        <f t="shared" si="3"/>
        <v>kiran@gmail.com</v>
      </c>
      <c r="Q7" s="7">
        <f t="shared" si="4"/>
        <v>9876543210</v>
      </c>
      <c r="R7" s="7" t="str">
        <f t="shared" si="5"/>
        <v>2023</v>
      </c>
      <c r="S7" s="7" t="str">
        <f t="shared" si="6"/>
        <v>Jun</v>
      </c>
      <c r="T7" s="7" t="str">
        <f t="shared" si="7"/>
        <v>07</v>
      </c>
      <c r="U7" s="7" t="str">
        <f t="shared" si="8"/>
        <v>Wed</v>
      </c>
      <c r="V7" s="7">
        <f t="shared" si="9"/>
        <v>5</v>
      </c>
      <c r="W7" s="7" t="str">
        <f t="shared" si="10"/>
        <v>On Time Delivery</v>
      </c>
    </row>
    <row r="8" spans="2:23">
      <c r="B8" s="7" t="s">
        <v>50</v>
      </c>
      <c r="C8" s="7" t="s">
        <v>51</v>
      </c>
      <c r="D8" s="7" t="s">
        <v>52</v>
      </c>
      <c r="E8" s="9">
        <v>45115</v>
      </c>
      <c r="F8" s="9">
        <v>45121</v>
      </c>
      <c r="G8" s="7" t="s">
        <v>53</v>
      </c>
      <c r="H8" s="7" t="s">
        <v>26</v>
      </c>
      <c r="I8" s="7" t="s">
        <v>54</v>
      </c>
      <c r="J8" s="11">
        <v>919876543210</v>
      </c>
      <c r="K8" s="7">
        <v>2100</v>
      </c>
      <c r="L8" s="7" t="str">
        <f t="shared" si="0"/>
        <v>Meena</v>
      </c>
      <c r="M8" s="7" t="str">
        <f t="shared" si="1"/>
        <v>Telangana</v>
      </c>
      <c r="N8" s="7" t="str">
        <f t="shared" si="2"/>
        <v>Dress Pink</v>
      </c>
      <c r="O8" s="7" t="str">
        <f t="shared" si="11"/>
        <v>Apparel</v>
      </c>
      <c r="P8" s="7" t="str">
        <f t="shared" si="3"/>
        <v>meena@gmail.com</v>
      </c>
      <c r="Q8" s="7">
        <f t="shared" si="4"/>
        <v>9876543210</v>
      </c>
      <c r="R8" s="7" t="str">
        <f t="shared" si="5"/>
        <v>2023</v>
      </c>
      <c r="S8" s="7" t="str">
        <f t="shared" si="6"/>
        <v>Jul</v>
      </c>
      <c r="T8" s="7" t="str">
        <f t="shared" si="7"/>
        <v>08</v>
      </c>
      <c r="U8" s="7" t="str">
        <f t="shared" si="8"/>
        <v>Sat</v>
      </c>
      <c r="V8" s="7">
        <f t="shared" si="9"/>
        <v>6</v>
      </c>
      <c r="W8" s="7" t="str">
        <f t="shared" si="10"/>
        <v>Late Delivery</v>
      </c>
    </row>
    <row r="9" spans="2:23">
      <c r="B9" s="7" t="s">
        <v>55</v>
      </c>
      <c r="C9" s="7" t="s">
        <v>56</v>
      </c>
      <c r="D9" s="7" t="s">
        <v>24</v>
      </c>
      <c r="E9" s="9">
        <v>45146</v>
      </c>
      <c r="F9" s="9">
        <v>45153</v>
      </c>
      <c r="G9" s="7" t="s">
        <v>25</v>
      </c>
      <c r="H9" s="7" t="s">
        <v>48</v>
      </c>
      <c r="I9" s="7" t="s">
        <v>57</v>
      </c>
      <c r="J9" s="11">
        <v>9876543210</v>
      </c>
      <c r="K9" s="7">
        <v>1200</v>
      </c>
      <c r="L9" s="7" t="str">
        <f t="shared" si="0"/>
        <v>John Doe</v>
      </c>
      <c r="M9" s="7" t="str">
        <f t="shared" si="1"/>
        <v>Andhra Pradesh</v>
      </c>
      <c r="N9" s="7" t="str">
        <f t="shared" si="2"/>
        <v>Tshirt Blue</v>
      </c>
      <c r="O9" s="7" t="str">
        <f t="shared" si="11"/>
        <v>Apparel</v>
      </c>
      <c r="P9" s="7" t="str">
        <f t="shared" si="3"/>
        <v>john@gmail.com</v>
      </c>
      <c r="Q9" s="7">
        <f t="shared" si="4"/>
        <v>9876543210</v>
      </c>
      <c r="R9" s="7" t="str">
        <f t="shared" si="5"/>
        <v>2023</v>
      </c>
      <c r="S9" s="7" t="str">
        <f t="shared" si="6"/>
        <v>Aug</v>
      </c>
      <c r="T9" s="7" t="str">
        <f t="shared" si="7"/>
        <v>08</v>
      </c>
      <c r="U9" s="7" t="str">
        <f t="shared" si="8"/>
        <v>Tue</v>
      </c>
      <c r="V9" s="7">
        <f t="shared" si="9"/>
        <v>7</v>
      </c>
      <c r="W9" s="7" t="str">
        <f t="shared" si="10"/>
        <v>Late Delivery</v>
      </c>
    </row>
    <row r="10" spans="2:23">
      <c r="B10" s="7" t="s">
        <v>58</v>
      </c>
      <c r="C10" s="7" t="s">
        <v>59</v>
      </c>
      <c r="D10" s="7" t="s">
        <v>60</v>
      </c>
      <c r="E10" s="9">
        <v>45170</v>
      </c>
      <c r="F10" s="9">
        <v>45176</v>
      </c>
      <c r="G10" s="7" t="s">
        <v>61</v>
      </c>
      <c r="H10" s="7" t="s">
        <v>26</v>
      </c>
      <c r="I10" s="7" t="s">
        <v>62</v>
      </c>
      <c r="J10" s="11">
        <v>9876543211</v>
      </c>
      <c r="K10" s="7">
        <v>2400</v>
      </c>
      <c r="L10" s="7" t="str">
        <f t="shared" si="0"/>
        <v>Pooja</v>
      </c>
      <c r="M10" s="7" t="str">
        <f t="shared" si="1"/>
        <v>Andhra Pradesh</v>
      </c>
      <c r="N10" s="7" t="str">
        <f t="shared" si="2"/>
        <v>Jeans Black</v>
      </c>
      <c r="O10" s="7" t="str">
        <f t="shared" si="11"/>
        <v>Apparel</v>
      </c>
      <c r="P10" s="7" t="str">
        <f t="shared" si="3"/>
        <v>pooja@gmail.com</v>
      </c>
      <c r="Q10" s="7">
        <f t="shared" si="4"/>
        <v>9876543211</v>
      </c>
      <c r="R10" s="7" t="str">
        <f t="shared" si="5"/>
        <v>2023</v>
      </c>
      <c r="S10" s="7" t="str">
        <f t="shared" si="6"/>
        <v>Sep</v>
      </c>
      <c r="T10" s="7" t="str">
        <f t="shared" si="7"/>
        <v>01</v>
      </c>
      <c r="U10" s="7" t="str">
        <f t="shared" si="8"/>
        <v>Fri</v>
      </c>
      <c r="V10" s="7">
        <f t="shared" si="9"/>
        <v>6</v>
      </c>
      <c r="W10" s="7" t="str">
        <f t="shared" si="10"/>
        <v>Late Delivery</v>
      </c>
    </row>
    <row r="11" spans="2:23">
      <c r="B11" s="7" t="s">
        <v>63</v>
      </c>
      <c r="C11" s="7" t="s">
        <v>64</v>
      </c>
      <c r="D11" s="7" t="s">
        <v>35</v>
      </c>
      <c r="E11" s="9">
        <v>45210</v>
      </c>
      <c r="F11" s="9">
        <v>45217</v>
      </c>
      <c r="G11" s="7" t="s">
        <v>36</v>
      </c>
      <c r="H11" s="7" t="s">
        <v>37</v>
      </c>
      <c r="I11" s="7" t="s">
        <v>65</v>
      </c>
      <c r="J11" s="11">
        <v>9876543212</v>
      </c>
      <c r="K11" s="7">
        <v>3300</v>
      </c>
      <c r="L11" s="7" t="str">
        <f t="shared" si="0"/>
        <v>Vikram</v>
      </c>
      <c r="M11" s="7" t="str">
        <f t="shared" si="1"/>
        <v>Andhra Pradesh</v>
      </c>
      <c r="N11" s="7" t="str">
        <f t="shared" si="2"/>
        <v>Sneakers White</v>
      </c>
      <c r="O11" s="7" t="str">
        <f t="shared" si="11"/>
        <v>Footwear</v>
      </c>
      <c r="P11" s="7" t="str">
        <f t="shared" si="3"/>
        <v>vikram@gmail.com</v>
      </c>
      <c r="Q11" s="7">
        <f t="shared" si="4"/>
        <v>9876543212</v>
      </c>
      <c r="R11" s="7" t="str">
        <f t="shared" si="5"/>
        <v>2023</v>
      </c>
      <c r="S11" s="7" t="str">
        <f t="shared" si="6"/>
        <v>Oct</v>
      </c>
      <c r="T11" s="7" t="str">
        <f t="shared" si="7"/>
        <v>11</v>
      </c>
      <c r="U11" s="7" t="str">
        <f t="shared" si="8"/>
        <v>Wed</v>
      </c>
      <c r="V11" s="7">
        <f t="shared" si="9"/>
        <v>7</v>
      </c>
      <c r="W11" s="7" t="str">
        <f t="shared" si="10"/>
        <v>Late Delivery</v>
      </c>
    </row>
    <row r="12" spans="2:23">
      <c r="B12" s="7" t="s">
        <v>66</v>
      </c>
      <c r="C12" s="7" t="s">
        <v>67</v>
      </c>
      <c r="D12" s="7" t="s">
        <v>46</v>
      </c>
      <c r="E12" s="9">
        <v>45232</v>
      </c>
      <c r="F12" s="9">
        <v>45238</v>
      </c>
      <c r="G12" s="7" t="s">
        <v>68</v>
      </c>
      <c r="H12" s="7" t="s">
        <v>26</v>
      </c>
      <c r="I12" s="7" t="s">
        <v>69</v>
      </c>
      <c r="J12" s="11">
        <v>9876543213</v>
      </c>
      <c r="K12" s="7">
        <v>1900</v>
      </c>
      <c r="L12" s="7" t="str">
        <f t="shared" si="0"/>
        <v>Kavya</v>
      </c>
      <c r="M12" s="7" t="str">
        <f t="shared" si="1"/>
        <v>Telangana</v>
      </c>
      <c r="N12" s="7" t="str">
        <f t="shared" si="2"/>
        <v>Kurti Red</v>
      </c>
      <c r="O12" s="7" t="str">
        <f t="shared" si="11"/>
        <v>Apparel</v>
      </c>
      <c r="P12" s="7" t="str">
        <f t="shared" si="3"/>
        <v>kavya@gmail.com</v>
      </c>
      <c r="Q12" s="7">
        <f t="shared" si="4"/>
        <v>9876543213</v>
      </c>
      <c r="R12" s="7" t="str">
        <f t="shared" si="5"/>
        <v>2023</v>
      </c>
      <c r="S12" s="7" t="str">
        <f t="shared" si="6"/>
        <v>Nov</v>
      </c>
      <c r="T12" s="7" t="str">
        <f t="shared" si="7"/>
        <v>02</v>
      </c>
      <c r="U12" s="7" t="str">
        <f t="shared" si="8"/>
        <v>Thu</v>
      </c>
      <c r="V12" s="7">
        <f t="shared" si="9"/>
        <v>6</v>
      </c>
      <c r="W12" s="7" t="str">
        <f t="shared" si="10"/>
        <v>Late Delivery</v>
      </c>
    </row>
    <row r="13" spans="2:23">
      <c r="B13" s="7" t="s">
        <v>70</v>
      </c>
      <c r="C13" s="7" t="s">
        <v>71</v>
      </c>
      <c r="D13" s="7" t="s">
        <v>24</v>
      </c>
      <c r="E13" s="9">
        <v>45272</v>
      </c>
      <c r="F13" s="9">
        <v>45278</v>
      </c>
      <c r="G13" s="7" t="s">
        <v>72</v>
      </c>
      <c r="H13" s="7" t="s">
        <v>26</v>
      </c>
      <c r="I13" s="7" t="s">
        <v>73</v>
      </c>
      <c r="J13" s="11">
        <v>9876543214</v>
      </c>
      <c r="K13" s="7">
        <v>1600</v>
      </c>
      <c r="L13" s="7" t="str">
        <f t="shared" si="0"/>
        <v>Ramesh</v>
      </c>
      <c r="M13" s="7" t="str">
        <f t="shared" si="1"/>
        <v>Andhra Pradesh</v>
      </c>
      <c r="N13" s="7" t="str">
        <f t="shared" si="2"/>
        <v>Shirt Blue</v>
      </c>
      <c r="O13" s="7" t="str">
        <f t="shared" si="11"/>
        <v>Apparel</v>
      </c>
      <c r="P13" s="7" t="str">
        <f t="shared" si="3"/>
        <v>ramesh@gmail.com</v>
      </c>
      <c r="Q13" s="7">
        <f t="shared" si="4"/>
        <v>9876543214</v>
      </c>
      <c r="R13" s="7" t="str">
        <f t="shared" si="5"/>
        <v>2023</v>
      </c>
      <c r="S13" s="7" t="str">
        <f t="shared" si="6"/>
        <v>Dec</v>
      </c>
      <c r="T13" s="7" t="str">
        <f t="shared" si="7"/>
        <v>12</v>
      </c>
      <c r="U13" s="7" t="str">
        <f t="shared" si="8"/>
        <v>Tue</v>
      </c>
      <c r="V13" s="7">
        <f t="shared" si="9"/>
        <v>6</v>
      </c>
      <c r="W13" s="7" t="str">
        <f t="shared" si="10"/>
        <v>Late Delivery</v>
      </c>
    </row>
    <row r="14" spans="2:23">
      <c r="B14" s="7" t="s">
        <v>74</v>
      </c>
      <c r="C14" s="7" t="s">
        <v>75</v>
      </c>
      <c r="D14" s="7" t="s">
        <v>35</v>
      </c>
      <c r="E14" s="9">
        <v>45296</v>
      </c>
      <c r="F14" s="9">
        <v>45301</v>
      </c>
      <c r="G14" s="7" t="s">
        <v>76</v>
      </c>
      <c r="H14" s="7" t="s">
        <v>26</v>
      </c>
      <c r="I14" s="7" t="s">
        <v>77</v>
      </c>
      <c r="J14" s="11">
        <v>9876543215</v>
      </c>
      <c r="K14" s="7">
        <v>2600</v>
      </c>
      <c r="L14" s="7" t="str">
        <f t="shared" si="0"/>
        <v>Sita Devi</v>
      </c>
      <c r="M14" s="7" t="str">
        <f t="shared" si="1"/>
        <v>Andhra Pradesh</v>
      </c>
      <c r="N14" s="7" t="str">
        <f t="shared" si="2"/>
        <v>Jeans Black</v>
      </c>
      <c r="O14" s="7" t="str">
        <f t="shared" si="11"/>
        <v>Apparel</v>
      </c>
      <c r="P14" s="7" t="str">
        <f t="shared" si="3"/>
        <v>sita@gmail.com</v>
      </c>
      <c r="Q14" s="7">
        <f t="shared" si="4"/>
        <v>9876543215</v>
      </c>
      <c r="R14" s="7" t="str">
        <f t="shared" si="5"/>
        <v>2024</v>
      </c>
      <c r="S14" s="7" t="str">
        <f t="shared" si="6"/>
        <v>Jan</v>
      </c>
      <c r="T14" s="7" t="str">
        <f t="shared" si="7"/>
        <v>05</v>
      </c>
      <c r="U14" s="7" t="str">
        <f t="shared" si="8"/>
        <v>Fri</v>
      </c>
      <c r="V14" s="7">
        <f t="shared" si="9"/>
        <v>5</v>
      </c>
      <c r="W14" s="7" t="str">
        <f t="shared" si="10"/>
        <v>On Time Delivery</v>
      </c>
    </row>
    <row r="15" spans="2:23">
      <c r="B15" s="7" t="s">
        <v>78</v>
      </c>
      <c r="C15" s="7" t="s">
        <v>79</v>
      </c>
      <c r="D15" s="7" t="s">
        <v>80</v>
      </c>
      <c r="E15" s="9">
        <v>45337</v>
      </c>
      <c r="F15" s="9">
        <v>45342</v>
      </c>
      <c r="G15" s="7" t="s">
        <v>81</v>
      </c>
      <c r="H15" s="7" t="s">
        <v>37</v>
      </c>
      <c r="I15" s="7" t="s">
        <v>82</v>
      </c>
      <c r="J15" s="11">
        <v>9876543216</v>
      </c>
      <c r="K15" s="7">
        <v>3500</v>
      </c>
      <c r="L15" s="7" t="str">
        <f t="shared" si="0"/>
        <v>Rahul Kumar</v>
      </c>
      <c r="M15" s="7" t="str">
        <f t="shared" si="1"/>
        <v>Andhra Pradesh</v>
      </c>
      <c r="N15" s="7" t="str">
        <f t="shared" si="2"/>
        <v>Sneakers White</v>
      </c>
      <c r="O15" s="7" t="str">
        <f t="shared" si="11"/>
        <v>Footwear</v>
      </c>
      <c r="P15" s="7" t="str">
        <f t="shared" si="3"/>
        <v>rahul@gmail.com</v>
      </c>
      <c r="Q15" s="7">
        <f t="shared" si="4"/>
        <v>9876543216</v>
      </c>
      <c r="R15" s="7" t="str">
        <f t="shared" si="5"/>
        <v>2024</v>
      </c>
      <c r="S15" s="7" t="str">
        <f t="shared" si="6"/>
        <v>Feb</v>
      </c>
      <c r="T15" s="7" t="str">
        <f t="shared" si="7"/>
        <v>15</v>
      </c>
      <c r="U15" s="7" t="str">
        <f t="shared" si="8"/>
        <v>Thu</v>
      </c>
      <c r="V15" s="7">
        <f t="shared" si="9"/>
        <v>5</v>
      </c>
      <c r="W15" s="7" t="str">
        <f t="shared" si="10"/>
        <v>On Time Delivery</v>
      </c>
    </row>
    <row r="16" spans="2:23">
      <c r="B16" s="7" t="s">
        <v>83</v>
      </c>
      <c r="C16" s="7" t="s">
        <v>84</v>
      </c>
      <c r="D16" s="7" t="s">
        <v>52</v>
      </c>
      <c r="E16" s="9">
        <v>45361</v>
      </c>
      <c r="F16" s="9">
        <v>45367</v>
      </c>
      <c r="G16" s="7" t="s">
        <v>42</v>
      </c>
      <c r="H16" s="7" t="s">
        <v>26</v>
      </c>
      <c r="I16" s="7" t="s">
        <v>85</v>
      </c>
      <c r="J16" s="11">
        <v>9876543217</v>
      </c>
      <c r="K16" s="7">
        <v>2000</v>
      </c>
      <c r="L16" s="7" t="str">
        <f t="shared" si="0"/>
        <v>Anjali</v>
      </c>
      <c r="M16" s="7" t="str">
        <f t="shared" si="1"/>
        <v>Telangana</v>
      </c>
      <c r="N16" s="7" t="str">
        <f t="shared" si="2"/>
        <v>Kurti Red</v>
      </c>
      <c r="O16" s="7" t="str">
        <f t="shared" si="11"/>
        <v>Apparel</v>
      </c>
      <c r="P16" s="7" t="str">
        <f t="shared" si="3"/>
        <v>anjali@gmail.com</v>
      </c>
      <c r="Q16" s="7">
        <f t="shared" si="4"/>
        <v>9876543217</v>
      </c>
      <c r="R16" s="7" t="str">
        <f t="shared" si="5"/>
        <v>2024</v>
      </c>
      <c r="S16" s="7" t="str">
        <f t="shared" si="6"/>
        <v>Mar</v>
      </c>
      <c r="T16" s="7" t="str">
        <f t="shared" si="7"/>
        <v>10</v>
      </c>
      <c r="U16" s="7" t="str">
        <f t="shared" si="8"/>
        <v>Sun</v>
      </c>
      <c r="V16" s="7">
        <f t="shared" si="9"/>
        <v>6</v>
      </c>
      <c r="W16" s="7" t="str">
        <f t="shared" si="10"/>
        <v>Late Delivery</v>
      </c>
    </row>
    <row r="17" spans="2:23">
      <c r="B17" s="7" t="s">
        <v>86</v>
      </c>
      <c r="C17" s="7" t="s">
        <v>87</v>
      </c>
      <c r="D17" s="7" t="s">
        <v>46</v>
      </c>
      <c r="E17" s="9">
        <v>45394</v>
      </c>
      <c r="F17" s="9">
        <v>45400</v>
      </c>
      <c r="G17" s="7" t="s">
        <v>88</v>
      </c>
      <c r="H17" s="7" t="s">
        <v>26</v>
      </c>
      <c r="I17" s="7" t="s">
        <v>89</v>
      </c>
      <c r="J17" s="11">
        <v>919876543218</v>
      </c>
      <c r="K17" s="7">
        <v>1700</v>
      </c>
      <c r="L17" s="7" t="str">
        <f t="shared" si="0"/>
        <v>Kiran</v>
      </c>
      <c r="M17" s="7" t="str">
        <f t="shared" si="1"/>
        <v>Telangana</v>
      </c>
      <c r="N17" s="7" t="str">
        <f t="shared" si="2"/>
        <v>Shirt Blue</v>
      </c>
      <c r="O17" s="7" t="str">
        <f t="shared" si="11"/>
        <v>Apparel</v>
      </c>
      <c r="P17" s="7" t="str">
        <f t="shared" si="3"/>
        <v>kiran@gmail.com</v>
      </c>
      <c r="Q17" s="7">
        <f t="shared" si="4"/>
        <v>9876543218</v>
      </c>
      <c r="R17" s="7" t="str">
        <f t="shared" si="5"/>
        <v>2024</v>
      </c>
      <c r="S17" s="7" t="str">
        <f t="shared" si="6"/>
        <v>Apr</v>
      </c>
      <c r="T17" s="7" t="str">
        <f t="shared" si="7"/>
        <v>12</v>
      </c>
      <c r="U17" s="7" t="str">
        <f t="shared" si="8"/>
        <v>Fri</v>
      </c>
      <c r="V17" s="7">
        <f t="shared" si="9"/>
        <v>6</v>
      </c>
      <c r="W17" s="7" t="str">
        <f t="shared" si="10"/>
        <v>Late Delivery</v>
      </c>
    </row>
    <row r="18" spans="2:23">
      <c r="B18" s="7" t="s">
        <v>90</v>
      </c>
      <c r="C18" s="7" t="s">
        <v>91</v>
      </c>
      <c r="D18" s="7" t="s">
        <v>35</v>
      </c>
      <c r="E18" s="9">
        <v>45432</v>
      </c>
      <c r="F18" s="9">
        <v>45437</v>
      </c>
      <c r="G18" s="7" t="s">
        <v>53</v>
      </c>
      <c r="H18" s="7" t="s">
        <v>26</v>
      </c>
      <c r="I18" s="7" t="s">
        <v>92</v>
      </c>
      <c r="J18" s="11">
        <v>9876543219</v>
      </c>
      <c r="K18" s="7">
        <v>2200</v>
      </c>
      <c r="L18" s="7" t="str">
        <f t="shared" si="0"/>
        <v>Meena</v>
      </c>
      <c r="M18" s="7" t="str">
        <f t="shared" si="1"/>
        <v>Andhra Pradesh</v>
      </c>
      <c r="N18" s="7" t="str">
        <f t="shared" si="2"/>
        <v>Dress Pink</v>
      </c>
      <c r="O18" s="7" t="str">
        <f t="shared" si="11"/>
        <v>Apparel</v>
      </c>
      <c r="P18" s="7" t="str">
        <f t="shared" si="3"/>
        <v>meena@gmail.com</v>
      </c>
      <c r="Q18" s="7">
        <f t="shared" si="4"/>
        <v>9876543219</v>
      </c>
      <c r="R18" s="7" t="str">
        <f t="shared" si="5"/>
        <v>2024</v>
      </c>
      <c r="S18" s="7" t="str">
        <f t="shared" si="6"/>
        <v>May</v>
      </c>
      <c r="T18" s="7" t="str">
        <f t="shared" si="7"/>
        <v>20</v>
      </c>
      <c r="U18" s="7" t="str">
        <f t="shared" si="8"/>
        <v>Mon</v>
      </c>
      <c r="V18" s="7">
        <f t="shared" si="9"/>
        <v>5</v>
      </c>
      <c r="W18" s="7" t="str">
        <f t="shared" si="10"/>
        <v>On Time Delivery</v>
      </c>
    </row>
    <row r="19" spans="2:23">
      <c r="B19" s="7" t="s">
        <v>93</v>
      </c>
      <c r="C19" s="7" t="s">
        <v>94</v>
      </c>
      <c r="D19" s="7" t="s">
        <v>24</v>
      </c>
      <c r="E19" s="9">
        <v>45444</v>
      </c>
      <c r="F19" s="9">
        <v>45449</v>
      </c>
      <c r="G19" s="7" t="s">
        <v>95</v>
      </c>
      <c r="H19" s="7" t="s">
        <v>26</v>
      </c>
      <c r="I19" s="7" t="s">
        <v>96</v>
      </c>
      <c r="J19" s="11">
        <v>9876543220</v>
      </c>
      <c r="K19" s="7">
        <v>1300</v>
      </c>
      <c r="L19" s="7" t="str">
        <f t="shared" si="0"/>
        <v>John</v>
      </c>
      <c r="M19" s="7" t="str">
        <f t="shared" si="1"/>
        <v>Andhra Pradesh</v>
      </c>
      <c r="N19" s="7" t="str">
        <f t="shared" si="2"/>
        <v>Tshirt Blue</v>
      </c>
      <c r="O19" s="7" t="str">
        <f t="shared" si="11"/>
        <v>Apparel</v>
      </c>
      <c r="P19" s="7" t="str">
        <f t="shared" si="3"/>
        <v>john@gmail.com</v>
      </c>
      <c r="Q19" s="7">
        <f t="shared" si="4"/>
        <v>9876543220</v>
      </c>
      <c r="R19" s="7" t="str">
        <f t="shared" si="5"/>
        <v>2024</v>
      </c>
      <c r="S19" s="7" t="str">
        <f t="shared" si="6"/>
        <v>Jun</v>
      </c>
      <c r="T19" s="7" t="str">
        <f t="shared" si="7"/>
        <v>01</v>
      </c>
      <c r="U19" s="7" t="str">
        <f t="shared" si="8"/>
        <v>Sat</v>
      </c>
      <c r="V19" s="7">
        <f t="shared" si="9"/>
        <v>5</v>
      </c>
      <c r="W19" s="7" t="str">
        <f t="shared" si="10"/>
        <v>On Time Delivery</v>
      </c>
    </row>
    <row r="20" spans="2:23">
      <c r="B20" s="7" t="s">
        <v>97</v>
      </c>
      <c r="C20" s="7" t="s">
        <v>98</v>
      </c>
      <c r="D20" s="7" t="s">
        <v>30</v>
      </c>
      <c r="E20" s="9">
        <v>45480</v>
      </c>
      <c r="F20" s="9">
        <v>45486</v>
      </c>
      <c r="G20" s="7" t="s">
        <v>61</v>
      </c>
      <c r="H20" s="7" t="s">
        <v>26</v>
      </c>
      <c r="I20" s="7" t="s">
        <v>99</v>
      </c>
      <c r="J20" s="11">
        <v>9876543221</v>
      </c>
      <c r="K20" s="7">
        <v>2700</v>
      </c>
      <c r="L20" s="7" t="str">
        <f t="shared" si="0"/>
        <v>Pooja</v>
      </c>
      <c r="M20" s="7" t="str">
        <f t="shared" si="1"/>
        <v>Andhra Pradesh</v>
      </c>
      <c r="N20" s="7" t="str">
        <f t="shared" si="2"/>
        <v>Jeans Black</v>
      </c>
      <c r="O20" s="7" t="str">
        <f t="shared" si="11"/>
        <v>Apparel</v>
      </c>
      <c r="P20" s="7" t="str">
        <f t="shared" si="3"/>
        <v>pooja@gmail.com</v>
      </c>
      <c r="Q20" s="7">
        <f t="shared" si="4"/>
        <v>9876543221</v>
      </c>
      <c r="R20" s="7" t="str">
        <f t="shared" si="5"/>
        <v>2024</v>
      </c>
      <c r="S20" s="7" t="str">
        <f t="shared" si="6"/>
        <v>Jul</v>
      </c>
      <c r="T20" s="7" t="str">
        <f t="shared" si="7"/>
        <v>07</v>
      </c>
      <c r="U20" s="7" t="str">
        <f t="shared" si="8"/>
        <v>Sun</v>
      </c>
      <c r="V20" s="7">
        <f t="shared" si="9"/>
        <v>6</v>
      </c>
      <c r="W20" s="7" t="str">
        <f t="shared" si="10"/>
        <v>Late Delivery</v>
      </c>
    </row>
    <row r="21" spans="2:23">
      <c r="B21" s="7" t="s">
        <v>100</v>
      </c>
      <c r="C21" s="7" t="s">
        <v>101</v>
      </c>
      <c r="D21" s="7" t="s">
        <v>52</v>
      </c>
      <c r="E21" s="9">
        <v>45512</v>
      </c>
      <c r="F21" s="9">
        <v>45518</v>
      </c>
      <c r="G21" s="7" t="s">
        <v>36</v>
      </c>
      <c r="H21" s="7" t="s">
        <v>37</v>
      </c>
      <c r="I21" s="7" t="s">
        <v>102</v>
      </c>
      <c r="J21" s="11">
        <v>9876543222</v>
      </c>
      <c r="K21" s="7">
        <v>3600</v>
      </c>
      <c r="L21" s="7" t="str">
        <f t="shared" si="0"/>
        <v>Vikram</v>
      </c>
      <c r="M21" s="7" t="str">
        <f t="shared" si="1"/>
        <v>Telangana</v>
      </c>
      <c r="N21" s="7" t="str">
        <f t="shared" si="2"/>
        <v>Sneakers White</v>
      </c>
      <c r="O21" s="7" t="str">
        <f t="shared" si="11"/>
        <v>Footwear</v>
      </c>
      <c r="P21" s="7" t="str">
        <f t="shared" si="3"/>
        <v>vikram@gmail.com</v>
      </c>
      <c r="Q21" s="7">
        <f t="shared" si="4"/>
        <v>9876543222</v>
      </c>
      <c r="R21" s="7" t="str">
        <f t="shared" si="5"/>
        <v>2024</v>
      </c>
      <c r="S21" s="7" t="str">
        <f t="shared" si="6"/>
        <v>Aug</v>
      </c>
      <c r="T21" s="7" t="str">
        <f t="shared" si="7"/>
        <v>08</v>
      </c>
      <c r="U21" s="7" t="str">
        <f t="shared" si="8"/>
        <v>Thu</v>
      </c>
      <c r="V21" s="7">
        <f t="shared" si="9"/>
        <v>6</v>
      </c>
      <c r="W21" s="7" t="str">
        <f t="shared" si="10"/>
        <v>Late Delivery</v>
      </c>
    </row>
    <row r="22" spans="2:23">
      <c r="B22" s="7" t="s">
        <v>103</v>
      </c>
      <c r="C22" s="7" t="s">
        <v>104</v>
      </c>
      <c r="D22" s="7" t="s">
        <v>46</v>
      </c>
      <c r="E22" s="9">
        <v>45544</v>
      </c>
      <c r="F22" s="9">
        <v>45550</v>
      </c>
      <c r="G22" s="7" t="s">
        <v>68</v>
      </c>
      <c r="H22" s="7" t="s">
        <v>26</v>
      </c>
      <c r="I22" s="7" t="s">
        <v>105</v>
      </c>
      <c r="J22" s="11">
        <v>919876543223</v>
      </c>
      <c r="K22" s="7">
        <v>2100</v>
      </c>
      <c r="L22" s="7" t="str">
        <f t="shared" si="0"/>
        <v>Kavya</v>
      </c>
      <c r="M22" s="7" t="str">
        <f t="shared" si="1"/>
        <v>Telangana</v>
      </c>
      <c r="N22" s="7" t="str">
        <f t="shared" si="2"/>
        <v>Kurti Red</v>
      </c>
      <c r="O22" s="7" t="str">
        <f t="shared" si="11"/>
        <v>Apparel</v>
      </c>
      <c r="P22" s="7" t="str">
        <f t="shared" si="3"/>
        <v>kavya@gmail.com</v>
      </c>
      <c r="Q22" s="7">
        <f t="shared" si="4"/>
        <v>9876543223</v>
      </c>
      <c r="R22" s="7" t="str">
        <f t="shared" si="5"/>
        <v>2024</v>
      </c>
      <c r="S22" s="7" t="str">
        <f t="shared" si="6"/>
        <v>Sep</v>
      </c>
      <c r="T22" s="7" t="str">
        <f t="shared" si="7"/>
        <v>09</v>
      </c>
      <c r="U22" s="7" t="str">
        <f t="shared" si="8"/>
        <v>Mon</v>
      </c>
      <c r="V22" s="7">
        <f t="shared" si="9"/>
        <v>6</v>
      </c>
      <c r="W22" s="7" t="str">
        <f t="shared" si="10"/>
        <v>Late Delivery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F23" sqref="F23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7"/>
  <sheetViews>
    <sheetView topLeftCell="B1" workbookViewId="0">
      <selection activeCell="K7" sqref="K7"/>
    </sheetView>
  </sheetViews>
  <sheetFormatPr defaultColWidth="8.88888888888889" defaultRowHeight="14.4"/>
  <cols>
    <col min="2" max="2" width="14.5555555555556" customWidth="1"/>
    <col min="3" max="3" width="19.7777777777778" customWidth="1"/>
    <col min="6" max="6" width="12" customWidth="1"/>
    <col min="7" max="7" width="14.2222222222222" customWidth="1"/>
    <col min="9" max="9" width="13.2222222222222" customWidth="1"/>
    <col min="10" max="10" width="13.6666666666667" customWidth="1"/>
  </cols>
  <sheetData>
    <row r="1" spans="2:3">
      <c r="B1" s="1" t="s">
        <v>17</v>
      </c>
      <c r="C1" s="2" t="s">
        <v>106</v>
      </c>
    </row>
    <row r="2" spans="2:11">
      <c r="B2" t="s">
        <v>107</v>
      </c>
      <c r="C2" s="3" cm="1">
        <f t="array" ref="C2">SUMIF(Month,B2,Sales)</f>
        <v>2600</v>
      </c>
      <c r="F2" s="4" t="s">
        <v>108</v>
      </c>
      <c r="G2" s="4"/>
      <c r="H2" s="4"/>
      <c r="J2" s="10" t="s">
        <v>109</v>
      </c>
      <c r="K2">
        <v>2024</v>
      </c>
    </row>
    <row r="3" spans="2:10">
      <c r="B3" t="s">
        <v>110</v>
      </c>
      <c r="C3" s="3" cm="1">
        <f t="array" ref="C3">SUMIF(Month,B3,Sales)</f>
        <v>4700</v>
      </c>
      <c r="F3" t="s">
        <v>111</v>
      </c>
      <c r="G3" cm="1">
        <f t="array" ref="G3">COUNTIF(dell,F3)</f>
        <v>8</v>
      </c>
      <c r="H3" s="5">
        <f>G3/20</f>
        <v>0.4</v>
      </c>
      <c r="J3" s="10"/>
    </row>
    <row r="4" spans="2:8">
      <c r="B4" t="s">
        <v>112</v>
      </c>
      <c r="C4" s="3" cm="1">
        <f t="array" ref="C4">SUMIF(Month,B4,Sales)</f>
        <v>4500</v>
      </c>
      <c r="F4" t="s">
        <v>113</v>
      </c>
      <c r="G4" cm="1">
        <f t="array" ref="G4">COUNTIF(dell,F4)</f>
        <v>12</v>
      </c>
      <c r="H4" s="5">
        <f>G4/20</f>
        <v>0.6</v>
      </c>
    </row>
    <row r="5" spans="2:11">
      <c r="B5" t="s">
        <v>114</v>
      </c>
      <c r="C5" s="3" cm="1">
        <f t="array" ref="C5">SUMIF(Month,B5,Sales)</f>
        <v>4900</v>
      </c>
      <c r="J5" s="10" t="s">
        <v>115</v>
      </c>
      <c r="K5" t="s">
        <v>114</v>
      </c>
    </row>
    <row r="6" spans="2:3">
      <c r="B6" t="s">
        <v>116</v>
      </c>
      <c r="C6" s="3" cm="1">
        <f t="array" ref="C6">SUMIF(Month,B6,Sales)</f>
        <v>4000</v>
      </c>
    </row>
    <row r="7" spans="2:11">
      <c r="B7" t="s">
        <v>117</v>
      </c>
      <c r="C7" s="3" cm="1">
        <f t="array" ref="C7">SUMIF(Month,B7,Sales)</f>
        <v>2800</v>
      </c>
      <c r="F7" s="6" t="s">
        <v>19</v>
      </c>
      <c r="G7" s="6" t="s">
        <v>118</v>
      </c>
      <c r="H7" s="6" t="s">
        <v>119</v>
      </c>
      <c r="J7" s="10" t="s">
        <v>120</v>
      </c>
      <c r="K7" t="s">
        <v>121</v>
      </c>
    </row>
    <row r="8" spans="2:8">
      <c r="B8" t="s">
        <v>122</v>
      </c>
      <c r="C8" s="3" cm="1">
        <f t="array" ref="C8">SUMIF(Month,B8,Sales)</f>
        <v>4800</v>
      </c>
      <c r="F8" s="7" t="s">
        <v>123</v>
      </c>
      <c r="G8" s="7" cm="1">
        <f t="array" ref="G8">SUMIF(Day_Name,F8,Sales)</f>
        <v>4300</v>
      </c>
      <c r="H8" s="7" cm="1">
        <f t="array" ref="H8">COUNTIF(Day_Name,F8)</f>
        <v>2</v>
      </c>
    </row>
    <row r="9" spans="2:11">
      <c r="B9" t="s">
        <v>124</v>
      </c>
      <c r="C9" s="3" cm="1">
        <f t="array" ref="C9">SUMIF(Month,B9,Sales)</f>
        <v>4800</v>
      </c>
      <c r="F9" s="7" t="s">
        <v>125</v>
      </c>
      <c r="G9" s="7" cm="1">
        <f t="array" ref="G9">SUMIF(Day_Name,F9,Sales)</f>
        <v>2800</v>
      </c>
      <c r="H9" s="7" cm="1">
        <f t="array" ref="H9">COUNTIF(Day_Name,F9)</f>
        <v>2</v>
      </c>
      <c r="J9" t="s">
        <v>126</v>
      </c>
      <c r="K9" cm="1">
        <f t="array" ref="K9">SUMIFS(Sales,Year,K2,Month,K5,Day_Name,K7)</f>
        <v>0</v>
      </c>
    </row>
    <row r="10" spans="2:8">
      <c r="B10" t="s">
        <v>127</v>
      </c>
      <c r="C10" s="3" cm="1">
        <f t="array" ref="C10">SUMIF(Month,B10,Sales)</f>
        <v>4500</v>
      </c>
      <c r="F10" s="7" t="s">
        <v>128</v>
      </c>
      <c r="G10" s="7" cm="1">
        <f t="array" ref="G10">SUMIF(Day_Name,F10,Sales)</f>
        <v>6000</v>
      </c>
      <c r="H10" s="7" cm="1">
        <f t="array" ref="H10">COUNTIF(Day_Name,F10)</f>
        <v>3</v>
      </c>
    </row>
    <row r="11" spans="2:8">
      <c r="B11" t="s">
        <v>129</v>
      </c>
      <c r="C11" s="3" cm="1">
        <f t="array" ref="C11">SUMIF(Month,B11,Sales)</f>
        <v>3300</v>
      </c>
      <c r="F11" s="7" t="s">
        <v>130</v>
      </c>
      <c r="G11" s="7" cm="1">
        <f t="array" ref="G11">SUMIF(Day_Name,F11,Sales)</f>
        <v>9000</v>
      </c>
      <c r="H11" s="7" cm="1">
        <f t="array" ref="H11">COUNTIF(Day_Name,F11)</f>
        <v>3</v>
      </c>
    </row>
    <row r="12" spans="2:8">
      <c r="B12" t="s">
        <v>131</v>
      </c>
      <c r="C12" s="3" cm="1">
        <f t="array" ref="C12">SUMIF(Month,B12,Sales)</f>
        <v>1900</v>
      </c>
      <c r="F12" s="7" t="s">
        <v>132</v>
      </c>
      <c r="G12" s="7" cm="1">
        <f t="array" ref="G12">SUMIF(Day_Name,F12,Sales)</f>
        <v>8500</v>
      </c>
      <c r="H12" s="7" cm="1">
        <f t="array" ref="H12">COUNTIF(Day_Name,F12)</f>
        <v>4</v>
      </c>
    </row>
    <row r="13" spans="2:8">
      <c r="B13" t="s">
        <v>133</v>
      </c>
      <c r="C13" s="3" cm="1">
        <f t="array" ref="C13">SUMIF(Month,B13,Sales)</f>
        <v>1600</v>
      </c>
      <c r="F13" s="7" t="s">
        <v>134</v>
      </c>
      <c r="G13" s="7" cm="1">
        <f t="array" ref="G13">SUMIF(Day_Name,F13,Sales)</f>
        <v>6600</v>
      </c>
      <c r="H13" s="7" cm="1">
        <f t="array" ref="H13">COUNTIF(Day_Name,F13)</f>
        <v>3</v>
      </c>
    </row>
    <row r="14" spans="6:8">
      <c r="F14" s="7" t="s">
        <v>135</v>
      </c>
      <c r="G14" s="7" cm="1">
        <f t="array" ref="G14">SUMIF(Day_Name,F14,Sales)</f>
        <v>7200</v>
      </c>
      <c r="H14" s="7" cm="1">
        <f t="array" ref="H14">COUNTIF(Day_Name,F14)</f>
        <v>3</v>
      </c>
    </row>
    <row r="17" spans="7:9">
      <c r="G17" s="8" t="s">
        <v>3</v>
      </c>
      <c r="I17" s="8" t="s">
        <v>3</v>
      </c>
    </row>
    <row r="18" spans="7:10">
      <c r="G18" s="9">
        <v>44958</v>
      </c>
      <c r="H18">
        <f>INT(TEXT(G18,"yyyy"))</f>
        <v>2023</v>
      </c>
      <c r="I18" s="9">
        <v>44958</v>
      </c>
      <c r="J18" t="str">
        <f>TEXT(I18,"mmm")</f>
        <v>Feb</v>
      </c>
    </row>
    <row r="19" spans="7:11">
      <c r="G19" s="9">
        <v>45296</v>
      </c>
      <c r="H19">
        <f>INT(TEXT(G19,"yyyy"))</f>
        <v>2024</v>
      </c>
      <c r="I19" s="9">
        <v>44990</v>
      </c>
      <c r="J19" t="str">
        <f t="shared" ref="J19:J37" si="0">TEXT(I19,"mmm")</f>
        <v>Mar</v>
      </c>
      <c r="K19" t="s">
        <v>136</v>
      </c>
    </row>
    <row r="20" spans="9:11">
      <c r="I20" s="9">
        <v>45031</v>
      </c>
      <c r="J20" t="str">
        <f t="shared" si="0"/>
        <v>Apr</v>
      </c>
      <c r="K20" t="s">
        <v>137</v>
      </c>
    </row>
    <row r="21" spans="9:11">
      <c r="I21" s="9">
        <v>45058</v>
      </c>
      <c r="J21" t="str">
        <f t="shared" si="0"/>
        <v>May</v>
      </c>
      <c r="K21" t="s">
        <v>138</v>
      </c>
    </row>
    <row r="22" spans="9:11">
      <c r="I22" s="9">
        <v>45084</v>
      </c>
      <c r="J22" t="str">
        <f t="shared" si="0"/>
        <v>Jun</v>
      </c>
      <c r="K22" t="s">
        <v>121</v>
      </c>
    </row>
    <row r="23" spans="9:11">
      <c r="I23" s="9">
        <v>45115</v>
      </c>
      <c r="J23" t="str">
        <f t="shared" si="0"/>
        <v>Jul</v>
      </c>
      <c r="K23" t="s">
        <v>139</v>
      </c>
    </row>
    <row r="24" spans="9:11">
      <c r="I24" s="9">
        <v>45146</v>
      </c>
      <c r="J24" t="str">
        <f t="shared" si="0"/>
        <v>Aug</v>
      </c>
      <c r="K24" t="s">
        <v>140</v>
      </c>
    </row>
    <row r="25" spans="9:11">
      <c r="I25" s="9">
        <v>45170</v>
      </c>
      <c r="J25" t="str">
        <f t="shared" si="0"/>
        <v>Sep</v>
      </c>
      <c r="K25" t="s">
        <v>141</v>
      </c>
    </row>
    <row r="26" spans="9:10">
      <c r="I26" s="9">
        <v>45210</v>
      </c>
      <c r="J26" t="str">
        <f t="shared" si="0"/>
        <v>Oct</v>
      </c>
    </row>
    <row r="27" spans="9:10">
      <c r="I27" s="9">
        <v>45232</v>
      </c>
      <c r="J27" t="str">
        <f t="shared" si="0"/>
        <v>Nov</v>
      </c>
    </row>
    <row r="28" spans="9:10">
      <c r="I28" s="9">
        <v>45272</v>
      </c>
      <c r="J28" t="str">
        <f t="shared" si="0"/>
        <v>Dec</v>
      </c>
    </row>
    <row r="29" spans="9:10">
      <c r="I29" s="9">
        <v>45296</v>
      </c>
      <c r="J29" t="str">
        <f t="shared" si="0"/>
        <v>Jan</v>
      </c>
    </row>
    <row r="30" spans="9:9">
      <c r="I30" s="9">
        <v>45337</v>
      </c>
    </row>
    <row r="31" spans="9:9">
      <c r="I31" s="9">
        <v>45361</v>
      </c>
    </row>
    <row r="32" spans="9:9">
      <c r="I32" s="9">
        <v>45394</v>
      </c>
    </row>
    <row r="33" spans="9:9">
      <c r="I33" s="9">
        <v>45432</v>
      </c>
    </row>
    <row r="34" spans="9:9">
      <c r="I34" s="9">
        <v>45444</v>
      </c>
    </row>
    <row r="35" spans="9:9">
      <c r="I35" s="9">
        <v>45480</v>
      </c>
    </row>
    <row r="36" spans="9:9">
      <c r="I36" s="9">
        <v>45512</v>
      </c>
    </row>
    <row r="37" spans="9:9">
      <c r="I37" s="9">
        <v>45544</v>
      </c>
    </row>
  </sheetData>
  <mergeCells count="1">
    <mergeCell ref="F2:H2"/>
  </mergeCells>
  <conditionalFormatting sqref="C2:C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{d7bccc77-28a4-430b-beee-ee0a58952eef}</x14:id>
        </ext>
      </extLst>
    </cfRule>
  </conditionalFormatting>
  <dataValidations count="3">
    <dataValidation type="list" allowBlank="1" showInputMessage="1" showErrorMessage="1" sqref="K5 L27 J18:J29 J38:J39">
      <formula1>$J$18:$J$29</formula1>
    </dataValidation>
    <dataValidation type="list" allowBlank="1" showInputMessage="1" showErrorMessage="1" sqref="K7">
      <formula1>$K$19:$K$25</formula1>
    </dataValidation>
    <dataValidation type="list" allowBlank="1" showInputMessage="1" showErrorMessage="1" sqref="H18:H19 K2:K3">
      <formula1>$H$18:$H$19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bccc77-28a4-430b-beee-ee0a58952e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Report_Refernce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Velamala Roja</cp:lastModifiedBy>
  <dcterms:created xsi:type="dcterms:W3CDTF">2026-04-20T05:48:00Z</dcterms:created>
  <dcterms:modified xsi:type="dcterms:W3CDTF">2026-04-21T06:24:52Z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EE800AAC4023447A93BC3790A524B6BE_13</vt:lpwstr>
  </property>
  <property fmtid="{D5CDD505-2E9C-101B-9397-08002B2CF9AE}" pid="3" name="KSOProductBuildVer">
    <vt:lpwstr>1033-12.2.0.23196</vt:lpwstr>
  </property>
</Properties>
</file>