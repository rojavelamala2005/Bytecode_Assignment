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d9a39e7045c10b/Desktop/Bytecode_Assignments/"/>
    </mc:Choice>
  </mc:AlternateContent>
  <xr:revisionPtr revIDLastSave="2" documentId="8_{105A8E6F-2841-41A9-AD51-E8FBC412A31F}" xr6:coauthVersionLast="47" xr6:coauthVersionMax="47" xr10:uidLastSave="{E7934F27-346D-4F06-8448-3C81A423B5C5}"/>
  <bookViews>
    <workbookView xWindow="-108" yWindow="-108" windowWidth="23256" windowHeight="12456" xr2:uid="{34274238-5D02-4306-A63E-3A1A43C183AF}"/>
  </bookViews>
  <sheets>
    <sheet name="Dataset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3" i="1"/>
  <c r="AR4" i="1"/>
  <c r="AR5" i="1"/>
  <c r="AR6" i="1"/>
  <c r="AR7" i="1"/>
  <c r="AR8" i="1"/>
  <c r="AR9" i="1"/>
  <c r="AR10" i="1"/>
  <c r="AR11" i="1"/>
  <c r="AR12" i="1"/>
  <c r="AR3" i="1"/>
  <c r="AQ4" i="1"/>
  <c r="AQ5" i="1"/>
  <c r="AQ6" i="1"/>
  <c r="AQ7" i="1"/>
  <c r="AQ8" i="1"/>
  <c r="AQ9" i="1"/>
  <c r="AQ10" i="1"/>
  <c r="AQ11" i="1"/>
  <c r="AQ12" i="1"/>
  <c r="AQ3" i="1"/>
  <c r="AP4" i="1"/>
  <c r="AP5" i="1"/>
  <c r="AP6" i="1"/>
  <c r="AP7" i="1"/>
  <c r="AP8" i="1"/>
  <c r="AP9" i="1"/>
  <c r="AP10" i="1"/>
  <c r="AP11" i="1"/>
  <c r="AP12" i="1"/>
  <c r="AP3" i="1"/>
  <c r="AO4" i="1"/>
  <c r="AO5" i="1"/>
  <c r="AO6" i="1"/>
  <c r="AO7" i="1"/>
  <c r="AO8" i="1"/>
  <c r="AO9" i="1"/>
  <c r="AO10" i="1"/>
  <c r="AO11" i="1"/>
  <c r="AO12" i="1"/>
  <c r="AO3" i="1"/>
  <c r="AM4" i="1"/>
  <c r="AM5" i="1"/>
  <c r="AM6" i="1"/>
  <c r="AM7" i="1"/>
  <c r="AM8" i="1"/>
  <c r="AM9" i="1"/>
  <c r="AM10" i="1"/>
  <c r="AM11" i="1"/>
  <c r="AM12" i="1"/>
  <c r="AM3" i="1"/>
  <c r="AL3" i="1"/>
  <c r="AL4" i="1"/>
  <c r="AL5" i="1"/>
  <c r="AL6" i="1"/>
  <c r="AL7" i="1"/>
  <c r="AL8" i="1"/>
  <c r="AL9" i="1"/>
  <c r="AL10" i="1"/>
  <c r="AL11" i="1"/>
  <c r="AL12" i="1"/>
  <c r="AK4" i="1"/>
  <c r="AK5" i="1"/>
  <c r="AK6" i="1"/>
  <c r="AK7" i="1"/>
  <c r="AK8" i="1"/>
  <c r="AK9" i="1"/>
  <c r="AK10" i="1"/>
  <c r="AK11" i="1"/>
  <c r="AK12" i="1"/>
  <c r="AK3" i="1"/>
  <c r="AJ4" i="1"/>
  <c r="AJ5" i="1"/>
  <c r="AJ6" i="1"/>
  <c r="AJ7" i="1"/>
  <c r="AJ8" i="1"/>
  <c r="AJ9" i="1"/>
  <c r="AJ10" i="1"/>
  <c r="AJ11" i="1"/>
  <c r="AJ12" i="1"/>
  <c r="AJ3" i="1"/>
  <c r="AI4" i="1"/>
  <c r="AI5" i="1"/>
  <c r="AI6" i="1"/>
  <c r="AI7" i="1"/>
  <c r="AI8" i="1"/>
  <c r="AI9" i="1"/>
  <c r="AI10" i="1"/>
  <c r="AI11" i="1"/>
  <c r="AI12" i="1"/>
  <c r="AI3" i="1"/>
  <c r="AH4" i="1"/>
  <c r="AH5" i="1"/>
  <c r="AH6" i="1"/>
  <c r="AH7" i="1"/>
  <c r="AH8" i="1"/>
  <c r="AH9" i="1"/>
  <c r="AH10" i="1"/>
  <c r="AH11" i="1"/>
  <c r="AH12" i="1"/>
  <c r="AH3" i="1"/>
  <c r="AG4" i="1"/>
  <c r="AG5" i="1"/>
  <c r="AG6" i="1"/>
  <c r="AG7" i="1"/>
  <c r="AG8" i="1"/>
  <c r="AG9" i="1"/>
  <c r="AG10" i="1"/>
  <c r="AG11" i="1"/>
  <c r="AG12" i="1"/>
  <c r="AG3" i="1"/>
  <c r="AF4" i="1"/>
  <c r="AF5" i="1"/>
  <c r="AF6" i="1"/>
  <c r="AF7" i="1"/>
  <c r="AF8" i="1"/>
  <c r="AF9" i="1"/>
  <c r="AF10" i="1"/>
  <c r="AF11" i="1"/>
  <c r="AF12" i="1"/>
  <c r="AF3" i="1"/>
  <c r="AE4" i="1"/>
  <c r="AE5" i="1"/>
  <c r="AE6" i="1"/>
  <c r="AE7" i="1"/>
  <c r="AE8" i="1"/>
  <c r="AE9" i="1"/>
  <c r="AE10" i="1"/>
  <c r="AE11" i="1"/>
  <c r="AE12" i="1"/>
  <c r="AE3" i="1"/>
  <c r="AC4" i="1"/>
  <c r="AC5" i="1"/>
  <c r="AC6" i="1"/>
  <c r="AC7" i="1"/>
  <c r="AC8" i="1"/>
  <c r="AC9" i="1"/>
  <c r="AC10" i="1"/>
  <c r="AC11" i="1"/>
  <c r="AC12" i="1"/>
  <c r="AC3" i="1"/>
  <c r="AD4" i="1"/>
  <c r="AD6" i="1"/>
  <c r="AD7" i="1"/>
  <c r="AD9" i="1"/>
  <c r="AD10" i="1"/>
  <c r="AD12" i="1"/>
  <c r="AD3" i="1"/>
  <c r="U4" i="1"/>
  <c r="U5" i="1"/>
  <c r="U6" i="1"/>
  <c r="U7" i="1"/>
  <c r="U8" i="1"/>
  <c r="U9" i="1"/>
  <c r="U10" i="1"/>
  <c r="U11" i="1"/>
  <c r="U12" i="1"/>
  <c r="U3" i="1"/>
  <c r="AB4" i="1"/>
  <c r="AB5" i="1"/>
  <c r="AB6" i="1"/>
  <c r="AB7" i="1"/>
  <c r="AB8" i="1"/>
  <c r="AB9" i="1"/>
  <c r="AB10" i="1"/>
  <c r="AB11" i="1"/>
  <c r="AB12" i="1"/>
  <c r="AB3" i="1"/>
  <c r="Y3" i="1"/>
  <c r="Z4" i="1"/>
  <c r="Z5" i="1"/>
  <c r="Z6" i="1"/>
  <c r="Z7" i="1"/>
  <c r="Z8" i="1"/>
  <c r="Z9" i="1"/>
  <c r="Z10" i="1"/>
  <c r="Z11" i="1"/>
  <c r="Z12" i="1"/>
  <c r="Z3" i="1"/>
  <c r="V4" i="1"/>
  <c r="V5" i="1"/>
  <c r="V6" i="1"/>
  <c r="V7" i="1"/>
  <c r="V8" i="1"/>
  <c r="V9" i="1"/>
  <c r="V10" i="1"/>
  <c r="V11" i="1"/>
  <c r="V12" i="1"/>
  <c r="V3" i="1"/>
  <c r="Y4" i="1"/>
  <c r="Y5" i="1"/>
  <c r="Y6" i="1"/>
  <c r="Y7" i="1"/>
  <c r="Y8" i="1"/>
  <c r="Y9" i="1"/>
  <c r="Y10" i="1"/>
  <c r="Y11" i="1"/>
  <c r="Y12" i="1"/>
  <c r="W12" i="1"/>
  <c r="W4" i="1"/>
  <c r="W5" i="1"/>
  <c r="W6" i="1"/>
  <c r="W7" i="1"/>
  <c r="W8" i="1"/>
  <c r="W9" i="1"/>
  <c r="W10" i="1"/>
  <c r="W11" i="1"/>
  <c r="W3" i="1"/>
  <c r="T4" i="1"/>
  <c r="T5" i="1"/>
  <c r="T6" i="1"/>
  <c r="T7" i="1"/>
  <c r="T8" i="1"/>
  <c r="T9" i="1"/>
  <c r="T10" i="1"/>
  <c r="T11" i="1"/>
  <c r="T12" i="1"/>
  <c r="T3" i="1"/>
  <c r="R12" i="1"/>
  <c r="R4" i="1"/>
  <c r="R5" i="1"/>
  <c r="R6" i="1"/>
  <c r="R7" i="1"/>
  <c r="R8" i="1"/>
  <c r="R9" i="1"/>
  <c r="R10" i="1"/>
  <c r="R11" i="1"/>
  <c r="R3" i="1"/>
  <c r="Q4" i="1"/>
  <c r="Q5" i="1"/>
  <c r="Q6" i="1"/>
  <c r="Q7" i="1"/>
  <c r="Q8" i="1"/>
  <c r="Q9" i="1"/>
  <c r="Q10" i="1"/>
  <c r="Q11" i="1"/>
  <c r="Q12" i="1"/>
  <c r="Q3" i="1"/>
  <c r="P12" i="1"/>
  <c r="S12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3" i="1"/>
  <c r="S3" i="1" s="1"/>
  <c r="O4" i="1"/>
  <c r="O5" i="1"/>
  <c r="O6" i="1"/>
  <c r="O7" i="1"/>
  <c r="O8" i="1"/>
  <c r="O9" i="1"/>
  <c r="O10" i="1"/>
  <c r="O11" i="1"/>
  <c r="O12" i="1"/>
  <c r="O3" i="1"/>
  <c r="N12" i="1"/>
  <c r="N4" i="1"/>
  <c r="N5" i="1"/>
  <c r="N6" i="1"/>
  <c r="N7" i="1"/>
  <c r="N8" i="1"/>
  <c r="N9" i="1"/>
  <c r="N10" i="1"/>
  <c r="N11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AD11" i="1" l="1"/>
  <c r="AD8" i="1"/>
  <c r="AD5" i="1"/>
</calcChain>
</file>

<file path=xl/sharedStrings.xml><?xml version="1.0" encoding="utf-8"?>
<sst xmlns="http://schemas.openxmlformats.org/spreadsheetml/2006/main" count="120" uniqueCount="97">
  <si>
    <t>Task_ID</t>
  </si>
  <si>
    <t>Employee</t>
  </si>
  <si>
    <t>Department</t>
  </si>
  <si>
    <t>Start_Date</t>
  </si>
  <si>
    <t>End_Date</t>
  </si>
  <si>
    <t>Deadline</t>
  </si>
  <si>
    <t>Completion_Date</t>
  </si>
  <si>
    <t>Status</t>
  </si>
  <si>
    <t>Region</t>
  </si>
  <si>
    <t>Asha</t>
  </si>
  <si>
    <t>Sales</t>
  </si>
  <si>
    <t>Completed</t>
  </si>
  <si>
    <t>South</t>
  </si>
  <si>
    <t>Ravi</t>
  </si>
  <si>
    <t>HR</t>
  </si>
  <si>
    <t>John</t>
  </si>
  <si>
    <t>IT</t>
  </si>
  <si>
    <t>Pending</t>
  </si>
  <si>
    <t>Meena</t>
  </si>
  <si>
    <t>Finance</t>
  </si>
  <si>
    <t>Arjun</t>
  </si>
  <si>
    <t>Kavya</t>
  </si>
  <si>
    <t>Ramesh</t>
  </si>
  <si>
    <t>Sneha</t>
  </si>
  <si>
    <t>Priya</t>
  </si>
  <si>
    <t>Kiran</t>
  </si>
  <si>
    <t>Short (&lt;5 days)</t>
  </si>
  <si>
    <t>Medium (5–10 days)</t>
  </si>
  <si>
    <t>Long (&gt;10 days)</t>
  </si>
  <si>
    <t>Extract Year from Start_Date</t>
  </si>
  <si>
    <t>Convert Start_Date into format: DD-MMM-YYYY</t>
  </si>
  <si>
    <t>Find today’s date using formula</t>
  </si>
  <si>
    <t>Find current date &amp; time</t>
  </si>
  <si>
    <t>Calculate Task Duration (days), End_Date - Start_Date</t>
  </si>
  <si>
    <t>Calculate how many Days its been after the project completion till date</t>
  </si>
  <si>
    <t>Find Weekday name of Start_Date</t>
  </si>
  <si>
    <t>Check if task is done on Weekend or Weekday</t>
  </si>
  <si>
    <t>Find Month number from Completion_Date</t>
  </si>
  <si>
    <t>alculate Working Days between Start_Date &amp; End_Date</t>
  </si>
  <si>
    <t>alculate working days excluding Sunday only</t>
  </si>
  <si>
    <t>Check if task is Delayed or On Time (Compare Completion_Date &amp; Deadline)</t>
  </si>
  <si>
    <t>Find Delay Days (only if delayed)</t>
  </si>
  <si>
    <t>Find Next Working Day after Deadline</t>
  </si>
  <si>
    <t>Calculate Project Duration excluding weekends</t>
  </si>
  <si>
    <t>Identify tasks where Deadline is within next 5 days</t>
  </si>
  <si>
    <t>Calculate Age of Task (Pending tasks only), ( TODAY() - Start_Date)</t>
  </si>
  <si>
    <t>Categorize Tasks</t>
  </si>
  <si>
    <t>Extract Month Name from Start_Date</t>
  </si>
  <si>
    <t>Extract Day from Start_Date</t>
  </si>
  <si>
    <t>Questions</t>
  </si>
  <si>
    <t>Find last day of the month for Start_Date</t>
  </si>
  <si>
    <t>Find last day of previous month</t>
  </si>
  <si>
    <t>Find last day of next month</t>
  </si>
  <si>
    <t>Find number of days in the month</t>
  </si>
  <si>
    <t>Check if task completed in same month as start</t>
  </si>
  <si>
    <t>Find tasks where deadline is month-end</t>
  </si>
  <si>
    <t>Calculate days remaining in month after start date</t>
  </si>
  <si>
    <t>Find month-end of Completion_Date</t>
  </si>
  <si>
    <t>Calculate Monthly SLA compliance, Task completed before month-end</t>
  </si>
  <si>
    <t>Identify tasks spilling into next month</t>
  </si>
  <si>
    <t>Calculate billing cycle end date (Always last day of month)</t>
  </si>
  <si>
    <t>Find tasks where completion happened after month-end</t>
  </si>
  <si>
    <t>Assign Month Bucket (Jan-2024, Feb-2024 format)</t>
  </si>
  <si>
    <t>Calculate Remaining days till month-end from TODAY()</t>
  </si>
  <si>
    <t>New Year</t>
  </si>
  <si>
    <t>Month Name</t>
  </si>
  <si>
    <t>New Date</t>
  </si>
  <si>
    <t>New Start Date</t>
  </si>
  <si>
    <t>Todays Date</t>
  </si>
  <si>
    <t>Current date and Time</t>
  </si>
  <si>
    <t>End Date-Start Date</t>
  </si>
  <si>
    <t>project completion till date</t>
  </si>
  <si>
    <t xml:space="preserve"> Weekday name of Start_Date</t>
  </si>
  <si>
    <t>Weekend or Weekday</t>
  </si>
  <si>
    <t xml:space="preserve"> Completion_Date</t>
  </si>
  <si>
    <t xml:space="preserve"> Start_Date &amp; End_Date</t>
  </si>
  <si>
    <t>excluding Sunday only</t>
  </si>
  <si>
    <t>Delayed or On Time</t>
  </si>
  <si>
    <t>Delay Days</t>
  </si>
  <si>
    <t>working Day After Deadline</t>
  </si>
  <si>
    <t>Project Duration</t>
  </si>
  <si>
    <t>Next 5 years</t>
  </si>
  <si>
    <t>Age Of Task</t>
  </si>
  <si>
    <t xml:space="preserve">Categorize task Last Day </t>
  </si>
  <si>
    <t>last day of previous month</t>
  </si>
  <si>
    <t>next month</t>
  </si>
  <si>
    <t>NO OF DAYS</t>
  </si>
  <si>
    <t>Task Completed</t>
  </si>
  <si>
    <t>Month end</t>
  </si>
  <si>
    <t>Days Remaining</t>
  </si>
  <si>
    <t>completion date</t>
  </si>
  <si>
    <t>Before Month end</t>
  </si>
  <si>
    <t>Next Month</t>
  </si>
  <si>
    <t>end Date</t>
  </si>
  <si>
    <t>Month End</t>
  </si>
  <si>
    <t>Month Bucket</t>
  </si>
  <si>
    <t>Till Month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</si>
</sst>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4" fontId="0" fillId="0" borderId="7" xfId="0" applyNumberFormat="1" applyBorder="1"/>
    <xf numFmtId="14" fontId="0" fillId="0" borderId="1" xfId="0" applyNumberFormat="1" applyBorder="1"/>
    <xf numFmtId="14" fontId="0" fillId="0" borderId="5" xfId="0" applyNumberFormat="1" applyBorder="1"/>
    <xf numFmtId="0" fontId="0" fillId="0" borderId="13" xfId="0" applyBorder="1"/>
    <xf numFmtId="0" fontId="0" fillId="0" borderId="14" xfId="0" applyBorder="1"/>
    <xf numFmtId="0" fontId="1" fillId="2" borderId="2" xfId="0" applyFont="1" applyFill="1" applyBorder="1"/>
    <xf numFmtId="0" fontId="0" fillId="0" borderId="15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14" fontId="0" fillId="0" borderId="8" xfId="0" applyNumberFormat="1" applyBorder="1"/>
    <xf numFmtId="22" fontId="0" fillId="0" borderId="8" xfId="0" applyNumberFormat="1" applyBorder="1"/>
    <xf numFmtId="1" fontId="0" fillId="0" borderId="8" xfId="0" applyNumberFormat="1" applyBorder="1"/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D6FF-810E-474C-960C-0005B495A4C9}">
  <dimension ref="C1:AR12"/>
  <sheetViews>
    <sheetView showGridLines="0" tabSelected="1" topLeftCell="R1" workbookViewId="0">
      <selection activeCell="X3" sqref="X3:X12"/>
    </sheetView>
  </sheetViews>
  <sheetFormatPr defaultRowHeight="14.4" x14ac:dyDescent="0.3"/>
  <cols>
    <col min="3" max="8" width="13.6640625" customWidth="1"/>
    <col min="9" max="9" width="22.77734375" customWidth="1"/>
    <col min="10" max="11" width="13.6640625" customWidth="1"/>
    <col min="13" max="13" width="13.44140625" customWidth="1"/>
    <col min="14" max="14" width="13" customWidth="1"/>
    <col min="15" max="15" width="13.88671875" customWidth="1"/>
    <col min="16" max="16" width="13.109375" customWidth="1"/>
    <col min="17" max="17" width="19" customWidth="1"/>
    <col min="18" max="18" width="20" customWidth="1"/>
    <col min="19" max="19" width="24.21875" customWidth="1"/>
    <col min="20" max="20" width="25.77734375" customWidth="1"/>
    <col min="21" max="21" width="26.33203125" customWidth="1"/>
    <col min="22" max="22" width="15.77734375" customWidth="1"/>
    <col min="23" max="23" width="24.33203125" customWidth="1"/>
    <col min="24" max="24" width="21.5546875" customWidth="1"/>
    <col min="25" max="25" width="18" customWidth="1"/>
    <col min="26" max="26" width="11.21875" customWidth="1"/>
    <col min="27" max="27" width="25.109375" customWidth="1"/>
    <col min="28" max="28" width="15.6640625" customWidth="1"/>
    <col min="29" max="29" width="10.88671875" customWidth="1"/>
    <col min="30" max="30" width="11.77734375" customWidth="1"/>
    <col min="31" max="31" width="21.5546875" customWidth="1"/>
    <col min="32" max="32" width="25.44140625" customWidth="1"/>
    <col min="33" max="33" width="13.6640625" customWidth="1"/>
    <col min="34" max="34" width="19.5546875" customWidth="1"/>
    <col min="35" max="35" width="15.21875" customWidth="1"/>
    <col min="36" max="36" width="12.77734375" customWidth="1"/>
    <col min="37" max="37" width="14.77734375" customWidth="1"/>
    <col min="38" max="38" width="14.6640625" customWidth="1"/>
    <col min="39" max="39" width="17.109375" customWidth="1"/>
    <col min="40" max="40" width="10.5546875" customWidth="1"/>
    <col min="41" max="41" width="10.33203125" bestFit="1" customWidth="1"/>
    <col min="42" max="42" width="12.88671875" customWidth="1"/>
    <col min="43" max="43" width="13.109375" customWidth="1"/>
    <col min="44" max="44" width="15.88671875" customWidth="1"/>
  </cols>
  <sheetData>
    <row r="1" spans="3:44" ht="15" thickBot="1" x14ac:dyDescent="0.35"/>
    <row r="2" spans="3:44" ht="15" thickBot="1" x14ac:dyDescent="0.35">
      <c r="C2" s="8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10" t="s">
        <v>8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</row>
    <row r="3" spans="3:44" x14ac:dyDescent="0.3">
      <c r="C3" s="5">
        <v>101</v>
      </c>
      <c r="D3" s="6" t="s">
        <v>9</v>
      </c>
      <c r="E3" s="6" t="s">
        <v>10</v>
      </c>
      <c r="F3" s="11">
        <v>46023</v>
      </c>
      <c r="G3" s="11">
        <v>46027</v>
      </c>
      <c r="H3" s="11">
        <v>46028</v>
      </c>
      <c r="I3" s="11">
        <v>46027</v>
      </c>
      <c r="J3" s="6" t="s">
        <v>11</v>
      </c>
      <c r="K3" s="7" t="s">
        <v>12</v>
      </c>
      <c r="L3" s="7">
        <f>YEAR(F3)</f>
        <v>2026</v>
      </c>
      <c r="M3" s="7" t="str">
        <f>TEXT(F3,"MMM")</f>
        <v>Jan</v>
      </c>
      <c r="N3" s="7">
        <f>DAY(F3)</f>
        <v>1</v>
      </c>
      <c r="O3" s="7" t="str">
        <f>TEXT(F3,"DD-MMM-YYYY")</f>
        <v>01-Jan-2026</v>
      </c>
      <c r="P3" s="20">
        <f ca="1">TODAY()</f>
        <v>46134</v>
      </c>
      <c r="Q3" s="21">
        <f ca="1">NOW()</f>
        <v>46134.403001967592</v>
      </c>
      <c r="R3" s="7">
        <f>_xlfn.DAYS(G3,F3)</f>
        <v>4</v>
      </c>
      <c r="S3" s="7">
        <f ca="1">DATEDIF(I3,P3,"d")</f>
        <v>107</v>
      </c>
      <c r="T3" s="7" t="str">
        <f>TEXT(F3,"DDDD")</f>
        <v>Thursday</v>
      </c>
      <c r="U3" s="7" t="str">
        <f>IF(I3=""," Not Completed",IF(WEEKDAY(I3,2)&gt;5,"Weekend","Weekday"))</f>
        <v>Weekday</v>
      </c>
      <c r="V3" s="7">
        <f>IF(I3="","",MONTH(I3))</f>
        <v>1</v>
      </c>
      <c r="W3" s="7">
        <f>NETWORKDAYS(F3,G3)</f>
        <v>3</v>
      </c>
      <c r="X3" s="7">
        <f>IF(I3="","",IF(I3&gt;H3,I3-H3,0))</f>
        <v>0</v>
      </c>
      <c r="Y3" s="7" t="str">
        <f>IF(H3&gt;I3,"Delayed","On Time")</f>
        <v>Delayed</v>
      </c>
      <c r="Z3" s="7">
        <f>IF(Dataset!I3="","",IF(Dataset!I3&gt;Dataset!H3,Dataset!I3-Dataset!H3,0))</f>
        <v>0</v>
      </c>
      <c r="AA3" s="7"/>
      <c r="AB3" s="7">
        <f>NETWORKDAYS.INTL(F3,G3,1)</f>
        <v>3</v>
      </c>
      <c r="AC3" s="7">
        <f>IF(I3=" ",P3-F3,I3-F3)</f>
        <v>4</v>
      </c>
      <c r="AD3" s="7" t="str">
        <f>IF(J3="Pending",P3-F3,"")</f>
        <v/>
      </c>
      <c r="AE3" s="20">
        <f>EOMONTH(F3,0)</f>
        <v>46053</v>
      </c>
      <c r="AF3" s="20">
        <f>EOMONTH(F3,-1)</f>
        <v>46022</v>
      </c>
      <c r="AG3" s="20">
        <f>EOMONTH(F3,1)</f>
        <v>46081</v>
      </c>
      <c r="AH3" s="7">
        <f>DAY(EOMONTH(F3,0))</f>
        <v>31</v>
      </c>
      <c r="AI3" s="7" t="str">
        <f>IF(MONTH(F3)=MONTH(G3),"Yes","No")</f>
        <v>Yes</v>
      </c>
      <c r="AJ3" s="7" t="str">
        <f>IF(H3=EOMONTH(H3,0),"Yes","No")</f>
        <v>No</v>
      </c>
      <c r="AK3" s="22">
        <f>EOMONTH(F3,0)-F3</f>
        <v>30</v>
      </c>
      <c r="AL3" s="20">
        <f>EOMONTH(I3,0)</f>
        <v>46053</v>
      </c>
      <c r="AM3" s="7" t="str">
        <f>IF(I3="","",IF(I3&lt;=EOMONTH(I3,0),"Completed","Not Completed"))</f>
        <v>Completed</v>
      </c>
      <c r="AN3" s="7"/>
      <c r="AO3" s="20">
        <f>EOMONTH(F3,0)</f>
        <v>46053</v>
      </c>
      <c r="AP3" s="7" t="str">
        <f>IF(I3&gt;"","",IF(I3&gt;EOMONTH(I3,0),"Yes","No"))</f>
        <v>No</v>
      </c>
      <c r="AQ3" s="7" t="str">
        <f>TEXT(F3,"MMM-YYYY")</f>
        <v>Jan-2026</v>
      </c>
      <c r="AR3" s="20">
        <f ca="1">EOMONTH(TODAY(),0)-TODAY()</f>
        <v>8</v>
      </c>
    </row>
    <row r="4" spans="3:44" x14ac:dyDescent="0.3">
      <c r="C4" s="2">
        <v>102</v>
      </c>
      <c r="D4" s="1" t="s">
        <v>13</v>
      </c>
      <c r="E4" s="1" t="s">
        <v>14</v>
      </c>
      <c r="F4" s="12">
        <v>46025</v>
      </c>
      <c r="G4" s="12">
        <v>46032</v>
      </c>
      <c r="H4" s="12">
        <v>46031</v>
      </c>
      <c r="I4" s="12">
        <v>46033</v>
      </c>
      <c r="J4" s="1" t="s">
        <v>11</v>
      </c>
      <c r="K4" s="7" t="s">
        <v>12</v>
      </c>
      <c r="L4" s="7">
        <f t="shared" ref="L4:L12" si="0">YEAR(F4)</f>
        <v>2026</v>
      </c>
      <c r="M4" s="7" t="str">
        <f t="shared" ref="M4:M12" si="1">TEXT(F4,"MMM")</f>
        <v>Jan</v>
      </c>
      <c r="N4" s="7">
        <f t="shared" ref="N4:N11" si="2">DAY(F4)</f>
        <v>3</v>
      </c>
      <c r="O4" s="7" t="str">
        <f t="shared" ref="O4:O12" si="3">TEXT(F4,"DD-MMM-YYYY")</f>
        <v>03-Jan-2026</v>
      </c>
      <c r="P4" s="20">
        <f t="shared" ref="P4:P11" ca="1" si="4">TODAY()</f>
        <v>46134</v>
      </c>
      <c r="Q4" s="21">
        <f t="shared" ref="Q4:Q12" ca="1" si="5">NOW()</f>
        <v>46134.403001967592</v>
      </c>
      <c r="R4" s="7">
        <f t="shared" ref="R4:R11" si="6">_xlfn.DAYS(G4,F4)</f>
        <v>7</v>
      </c>
      <c r="S4" s="7">
        <f t="shared" ref="S4:S12" ca="1" si="7">DATEDIF(I4,P4,"d")</f>
        <v>101</v>
      </c>
      <c r="T4" s="7" t="str">
        <f t="shared" ref="T4:T12" si="8">TEXT(F4,"DDDD")</f>
        <v>Saturday</v>
      </c>
      <c r="U4" s="7" t="str">
        <f t="shared" ref="U4:U12" si="9">IF(I4=""," Not Completed",IF(WEEKDAY(I4,2)&gt;5,"Weekend","Weekday"))</f>
        <v>Weekend</v>
      </c>
      <c r="V4" s="7">
        <f t="shared" ref="V4:V12" si="10">IF(I4="","",MONTH(I4))</f>
        <v>1</v>
      </c>
      <c r="W4" s="7">
        <f t="shared" ref="W4:W11" si="11">NETWORKDAYS(F4,G4)</f>
        <v>5</v>
      </c>
      <c r="X4" s="7">
        <f t="shared" ref="X4:X12" si="12">IF(I4="","",IF(I4&gt;H4,I4-H4,0))</f>
        <v>2</v>
      </c>
      <c r="Y4" s="7" t="str">
        <f t="shared" ref="Y4:Y12" si="13">IF(H4&gt;I4,"Delayed","On Time")</f>
        <v>On Time</v>
      </c>
      <c r="Z4" s="7">
        <f>IF(Dataset!I4="","",IF(Dataset!I4&gt;Dataset!H4,Dataset!I4-Dataset!H4,0))</f>
        <v>2</v>
      </c>
      <c r="AA4" s="7"/>
      <c r="AB4" s="7">
        <f t="shared" ref="AB4:AB12" si="14">NETWORKDAYS.INTL(F4,G4,1)</f>
        <v>5</v>
      </c>
      <c r="AC4" s="7">
        <f t="shared" ref="AC4:AC12" si="15">IF(I4=" ",P4-F4,I4-F4)</f>
        <v>8</v>
      </c>
      <c r="AD4" s="7" t="str">
        <f t="shared" ref="AD4:AD12" si="16">IF(J4="Pending",P4-F4,"")</f>
        <v/>
      </c>
      <c r="AE4" s="20">
        <f t="shared" ref="AE4:AE12" si="17">EOMONTH(F4,0)</f>
        <v>46053</v>
      </c>
      <c r="AF4" s="20">
        <f t="shared" ref="AF4:AF12" si="18">EOMONTH(F4,-1)</f>
        <v>46022</v>
      </c>
      <c r="AG4" s="20">
        <f t="shared" ref="AG4:AG12" si="19">EOMONTH(F4,1)</f>
        <v>46081</v>
      </c>
      <c r="AH4" s="7">
        <f t="shared" ref="AH4:AH12" si="20">DAY(EOMONTH(F4,0))</f>
        <v>31</v>
      </c>
      <c r="AI4" s="7" t="str">
        <f t="shared" ref="AI4:AI12" si="21">IF(MONTH(F4)=MONTH(G4),"Yes","No")</f>
        <v>Yes</v>
      </c>
      <c r="AJ4" s="7" t="str">
        <f t="shared" ref="AJ4:AJ12" si="22">IF(H4=EOMONTH(H4,0),"Yes","No")</f>
        <v>No</v>
      </c>
      <c r="AK4" s="22">
        <f t="shared" ref="AK4:AK12" si="23">EOMONTH(F4,0)-F4</f>
        <v>28</v>
      </c>
      <c r="AL4" s="20">
        <f t="shared" ref="AL4:AL12" si="24">EOMONTH(I4,0)</f>
        <v>46053</v>
      </c>
      <c r="AM4" s="7" t="str">
        <f t="shared" ref="AM4:AM12" si="25">IF(I4="","",IF(I4&lt;=EOMONTH(I4,0),"Completed","Not Completed"))</f>
        <v>Completed</v>
      </c>
      <c r="AN4" s="7"/>
      <c r="AO4" s="20">
        <f t="shared" ref="AO4:AO12" si="26">EOMONTH(F4,0)</f>
        <v>46053</v>
      </c>
      <c r="AP4" s="7" t="str">
        <f t="shared" ref="AP4:AP12" si="27">IF(I4&gt;"","",IF(I4&gt;EOMONTH(I4,0),"Yes","No"))</f>
        <v>No</v>
      </c>
      <c r="AQ4" s="7" t="str">
        <f t="shared" ref="AQ4:AQ12" si="28">TEXT(F4,"MMM-YYYY")</f>
        <v>Jan-2026</v>
      </c>
      <c r="AR4" s="20">
        <f t="shared" ref="AR4:AR12" ca="1" si="29">EOMONTH(TODAY(),0)-TODAY()</f>
        <v>8</v>
      </c>
    </row>
    <row r="5" spans="3:44" x14ac:dyDescent="0.3">
      <c r="C5" s="2">
        <v>103</v>
      </c>
      <c r="D5" s="1" t="s">
        <v>15</v>
      </c>
      <c r="E5" s="1" t="s">
        <v>16</v>
      </c>
      <c r="F5" s="12">
        <v>46027</v>
      </c>
      <c r="G5" s="12">
        <v>46037</v>
      </c>
      <c r="H5" s="12">
        <v>46036</v>
      </c>
      <c r="I5" s="12"/>
      <c r="J5" s="1" t="s">
        <v>17</v>
      </c>
      <c r="K5" s="7" t="s">
        <v>12</v>
      </c>
      <c r="L5" s="7">
        <f t="shared" si="0"/>
        <v>2026</v>
      </c>
      <c r="M5" s="7" t="str">
        <f t="shared" si="1"/>
        <v>Jan</v>
      </c>
      <c r="N5" s="7">
        <f t="shared" si="2"/>
        <v>5</v>
      </c>
      <c r="O5" s="7" t="str">
        <f t="shared" si="3"/>
        <v>05-Jan-2026</v>
      </c>
      <c r="P5" s="20">
        <f t="shared" ca="1" si="4"/>
        <v>46134</v>
      </c>
      <c r="Q5" s="21">
        <f t="shared" ca="1" si="5"/>
        <v>46134.403001967592</v>
      </c>
      <c r="R5" s="7">
        <f t="shared" si="6"/>
        <v>10</v>
      </c>
      <c r="S5" s="7">
        <f t="shared" ca="1" si="7"/>
        <v>46134</v>
      </c>
      <c r="T5" s="7" t="str">
        <f t="shared" si="8"/>
        <v>Monday</v>
      </c>
      <c r="U5" s="7" t="str">
        <f t="shared" si="9"/>
        <v xml:space="preserve"> Not Completed</v>
      </c>
      <c r="V5" s="7" t="str">
        <f t="shared" si="10"/>
        <v/>
      </c>
      <c r="W5" s="7">
        <f t="shared" si="11"/>
        <v>9</v>
      </c>
      <c r="X5" s="7" t="str">
        <f t="shared" si="12"/>
        <v/>
      </c>
      <c r="Y5" s="7" t="str">
        <f t="shared" si="13"/>
        <v>Delayed</v>
      </c>
      <c r="Z5" s="7" t="str">
        <f>IF(Dataset!I5="","",IF(Dataset!I5&gt;Dataset!H5,Dataset!I5-Dataset!H5,0))</f>
        <v/>
      </c>
      <c r="AA5" s="7"/>
      <c r="AB5" s="7">
        <f t="shared" si="14"/>
        <v>9</v>
      </c>
      <c r="AC5" s="7">
        <f t="shared" si="15"/>
        <v>-46027</v>
      </c>
      <c r="AD5" s="7">
        <f t="shared" ca="1" si="16"/>
        <v>107</v>
      </c>
      <c r="AE5" s="20">
        <f t="shared" si="17"/>
        <v>46053</v>
      </c>
      <c r="AF5" s="20">
        <f t="shared" si="18"/>
        <v>46022</v>
      </c>
      <c r="AG5" s="20">
        <f t="shared" si="19"/>
        <v>46081</v>
      </c>
      <c r="AH5" s="7">
        <f t="shared" si="20"/>
        <v>31</v>
      </c>
      <c r="AI5" s="7" t="str">
        <f t="shared" si="21"/>
        <v>Yes</v>
      </c>
      <c r="AJ5" s="7" t="str">
        <f t="shared" si="22"/>
        <v>No</v>
      </c>
      <c r="AK5" s="22">
        <f t="shared" si="23"/>
        <v>26</v>
      </c>
      <c r="AL5" s="20">
        <f t="shared" si="24"/>
        <v>31</v>
      </c>
      <c r="AM5" s="7" t="str">
        <f t="shared" si="25"/>
        <v/>
      </c>
      <c r="AN5" s="7"/>
      <c r="AO5" s="20">
        <f t="shared" si="26"/>
        <v>46053</v>
      </c>
      <c r="AP5" s="7" t="str">
        <f t="shared" si="27"/>
        <v>No</v>
      </c>
      <c r="AQ5" s="7" t="str">
        <f t="shared" si="28"/>
        <v>Jan-2026</v>
      </c>
      <c r="AR5" s="20">
        <f t="shared" ca="1" si="29"/>
        <v>8</v>
      </c>
    </row>
    <row r="6" spans="3:44" x14ac:dyDescent="0.3">
      <c r="C6" s="2">
        <v>104</v>
      </c>
      <c r="D6" s="1" t="s">
        <v>18</v>
      </c>
      <c r="E6" s="1" t="s">
        <v>19</v>
      </c>
      <c r="F6" s="12">
        <v>46029</v>
      </c>
      <c r="G6" s="12">
        <v>46034</v>
      </c>
      <c r="H6" s="12">
        <v>46034</v>
      </c>
      <c r="I6" s="12">
        <v>46034</v>
      </c>
      <c r="J6" s="1" t="s">
        <v>11</v>
      </c>
      <c r="K6" s="7" t="s">
        <v>12</v>
      </c>
      <c r="L6" s="7">
        <f t="shared" si="0"/>
        <v>2026</v>
      </c>
      <c r="M6" s="7" t="str">
        <f t="shared" si="1"/>
        <v>Jan</v>
      </c>
      <c r="N6" s="7">
        <f t="shared" si="2"/>
        <v>7</v>
      </c>
      <c r="O6" s="7" t="str">
        <f t="shared" si="3"/>
        <v>07-Jan-2026</v>
      </c>
      <c r="P6" s="20">
        <f t="shared" ca="1" si="4"/>
        <v>46134</v>
      </c>
      <c r="Q6" s="21">
        <f t="shared" ca="1" si="5"/>
        <v>46134.403001967592</v>
      </c>
      <c r="R6" s="7">
        <f t="shared" si="6"/>
        <v>5</v>
      </c>
      <c r="S6" s="7">
        <f t="shared" ca="1" si="7"/>
        <v>100</v>
      </c>
      <c r="T6" s="7" t="str">
        <f t="shared" si="8"/>
        <v>Wednesday</v>
      </c>
      <c r="U6" s="7" t="str">
        <f t="shared" si="9"/>
        <v>Weekday</v>
      </c>
      <c r="V6" s="7">
        <f t="shared" si="10"/>
        <v>1</v>
      </c>
      <c r="W6" s="7">
        <f t="shared" si="11"/>
        <v>4</v>
      </c>
      <c r="X6" s="7">
        <f t="shared" si="12"/>
        <v>0</v>
      </c>
      <c r="Y6" s="7" t="str">
        <f t="shared" si="13"/>
        <v>On Time</v>
      </c>
      <c r="Z6" s="7">
        <f>IF(Dataset!I6="","",IF(Dataset!I6&gt;Dataset!H6,Dataset!I6-Dataset!H6,0))</f>
        <v>0</v>
      </c>
      <c r="AA6" s="7"/>
      <c r="AB6" s="7">
        <f t="shared" si="14"/>
        <v>4</v>
      </c>
      <c r="AC6" s="7">
        <f t="shared" si="15"/>
        <v>5</v>
      </c>
      <c r="AD6" s="7" t="str">
        <f t="shared" si="16"/>
        <v/>
      </c>
      <c r="AE6" s="20">
        <f t="shared" si="17"/>
        <v>46053</v>
      </c>
      <c r="AF6" s="20">
        <f t="shared" si="18"/>
        <v>46022</v>
      </c>
      <c r="AG6" s="20">
        <f t="shared" si="19"/>
        <v>46081</v>
      </c>
      <c r="AH6" s="7">
        <f t="shared" si="20"/>
        <v>31</v>
      </c>
      <c r="AI6" s="7" t="str">
        <f t="shared" si="21"/>
        <v>Yes</v>
      </c>
      <c r="AJ6" s="7" t="str">
        <f t="shared" si="22"/>
        <v>No</v>
      </c>
      <c r="AK6" s="22">
        <f t="shared" si="23"/>
        <v>24</v>
      </c>
      <c r="AL6" s="20">
        <f t="shared" si="24"/>
        <v>46053</v>
      </c>
      <c r="AM6" s="7" t="str">
        <f t="shared" si="25"/>
        <v>Completed</v>
      </c>
      <c r="AN6" s="7"/>
      <c r="AO6" s="20">
        <f t="shared" si="26"/>
        <v>46053</v>
      </c>
      <c r="AP6" s="7" t="str">
        <f t="shared" si="27"/>
        <v>No</v>
      </c>
      <c r="AQ6" s="7" t="str">
        <f t="shared" si="28"/>
        <v>Jan-2026</v>
      </c>
      <c r="AR6" s="20">
        <f t="shared" ca="1" si="29"/>
        <v>8</v>
      </c>
    </row>
    <row r="7" spans="3:44" x14ac:dyDescent="0.3">
      <c r="C7" s="2">
        <v>105</v>
      </c>
      <c r="D7" s="1" t="s">
        <v>20</v>
      </c>
      <c r="E7" s="1" t="s">
        <v>10</v>
      </c>
      <c r="F7" s="12">
        <v>46032</v>
      </c>
      <c r="G7" s="12">
        <v>46042</v>
      </c>
      <c r="H7" s="12">
        <v>46040</v>
      </c>
      <c r="I7" s="12">
        <v>46041</v>
      </c>
      <c r="J7" s="1" t="s">
        <v>11</v>
      </c>
      <c r="K7" s="7" t="s">
        <v>12</v>
      </c>
      <c r="L7" s="7">
        <f t="shared" si="0"/>
        <v>2026</v>
      </c>
      <c r="M7" s="7" t="str">
        <f t="shared" si="1"/>
        <v>Jan</v>
      </c>
      <c r="N7" s="7">
        <f t="shared" si="2"/>
        <v>10</v>
      </c>
      <c r="O7" s="7" t="str">
        <f t="shared" si="3"/>
        <v>10-Jan-2026</v>
      </c>
      <c r="P7" s="20">
        <f t="shared" ca="1" si="4"/>
        <v>46134</v>
      </c>
      <c r="Q7" s="21">
        <f t="shared" ca="1" si="5"/>
        <v>46134.403001967592</v>
      </c>
      <c r="R7" s="7">
        <f t="shared" si="6"/>
        <v>10</v>
      </c>
      <c r="S7" s="7">
        <f t="shared" ca="1" si="7"/>
        <v>93</v>
      </c>
      <c r="T7" s="7" t="str">
        <f t="shared" si="8"/>
        <v>Saturday</v>
      </c>
      <c r="U7" s="7" t="str">
        <f t="shared" si="9"/>
        <v>Weekday</v>
      </c>
      <c r="V7" s="7">
        <f t="shared" si="10"/>
        <v>1</v>
      </c>
      <c r="W7" s="7">
        <f t="shared" si="11"/>
        <v>7</v>
      </c>
      <c r="X7" s="7">
        <f t="shared" si="12"/>
        <v>1</v>
      </c>
      <c r="Y7" s="7" t="str">
        <f t="shared" si="13"/>
        <v>On Time</v>
      </c>
      <c r="Z7" s="7">
        <f>IF(Dataset!I7="","",IF(Dataset!I7&gt;Dataset!H7,Dataset!I7-Dataset!H7,0))</f>
        <v>1</v>
      </c>
      <c r="AA7" s="7"/>
      <c r="AB7" s="7">
        <f t="shared" si="14"/>
        <v>7</v>
      </c>
      <c r="AC7" s="7">
        <f t="shared" si="15"/>
        <v>9</v>
      </c>
      <c r="AD7" s="7" t="str">
        <f t="shared" si="16"/>
        <v/>
      </c>
      <c r="AE7" s="20">
        <f t="shared" si="17"/>
        <v>46053</v>
      </c>
      <c r="AF7" s="20">
        <f t="shared" si="18"/>
        <v>46022</v>
      </c>
      <c r="AG7" s="20">
        <f t="shared" si="19"/>
        <v>46081</v>
      </c>
      <c r="AH7" s="7">
        <f t="shared" si="20"/>
        <v>31</v>
      </c>
      <c r="AI7" s="7" t="str">
        <f t="shared" si="21"/>
        <v>Yes</v>
      </c>
      <c r="AJ7" s="7" t="str">
        <f t="shared" si="22"/>
        <v>No</v>
      </c>
      <c r="AK7" s="22">
        <f t="shared" si="23"/>
        <v>21</v>
      </c>
      <c r="AL7" s="20">
        <f t="shared" si="24"/>
        <v>46053</v>
      </c>
      <c r="AM7" s="7" t="str">
        <f t="shared" si="25"/>
        <v>Completed</v>
      </c>
      <c r="AN7" s="7"/>
      <c r="AO7" s="20">
        <f t="shared" si="26"/>
        <v>46053</v>
      </c>
      <c r="AP7" s="7" t="str">
        <f t="shared" si="27"/>
        <v>No</v>
      </c>
      <c r="AQ7" s="7" t="str">
        <f t="shared" si="28"/>
        <v>Jan-2026</v>
      </c>
      <c r="AR7" s="20">
        <f t="shared" ca="1" si="29"/>
        <v>8</v>
      </c>
    </row>
    <row r="8" spans="3:44" x14ac:dyDescent="0.3">
      <c r="C8" s="2">
        <v>106</v>
      </c>
      <c r="D8" s="1" t="s">
        <v>21</v>
      </c>
      <c r="E8" s="1" t="s">
        <v>16</v>
      </c>
      <c r="F8" s="12">
        <v>46034</v>
      </c>
      <c r="G8" s="12">
        <v>46047</v>
      </c>
      <c r="H8" s="12">
        <v>46046</v>
      </c>
      <c r="I8" s="12"/>
      <c r="J8" s="1" t="s">
        <v>17</v>
      </c>
      <c r="K8" s="7" t="s">
        <v>12</v>
      </c>
      <c r="L8" s="7">
        <f t="shared" si="0"/>
        <v>2026</v>
      </c>
      <c r="M8" s="7" t="str">
        <f t="shared" si="1"/>
        <v>Jan</v>
      </c>
      <c r="N8" s="7">
        <f t="shared" si="2"/>
        <v>12</v>
      </c>
      <c r="O8" s="7" t="str">
        <f t="shared" si="3"/>
        <v>12-Jan-2026</v>
      </c>
      <c r="P8" s="20">
        <f t="shared" ca="1" si="4"/>
        <v>46134</v>
      </c>
      <c r="Q8" s="21">
        <f t="shared" ca="1" si="5"/>
        <v>46134.403001967592</v>
      </c>
      <c r="R8" s="7">
        <f t="shared" si="6"/>
        <v>13</v>
      </c>
      <c r="S8" s="7">
        <f t="shared" ca="1" si="7"/>
        <v>46134</v>
      </c>
      <c r="T8" s="7" t="str">
        <f t="shared" si="8"/>
        <v>Monday</v>
      </c>
      <c r="U8" s="7" t="str">
        <f t="shared" si="9"/>
        <v xml:space="preserve"> Not Completed</v>
      </c>
      <c r="V8" s="7" t="str">
        <f t="shared" si="10"/>
        <v/>
      </c>
      <c r="W8" s="7">
        <f t="shared" si="11"/>
        <v>10</v>
      </c>
      <c r="X8" s="7" t="str">
        <f t="shared" si="12"/>
        <v/>
      </c>
      <c r="Y8" s="7" t="str">
        <f t="shared" si="13"/>
        <v>Delayed</v>
      </c>
      <c r="Z8" s="7" t="str">
        <f>IF(Dataset!I8="","",IF(Dataset!I8&gt;Dataset!H8,Dataset!I8-Dataset!H8,0))</f>
        <v/>
      </c>
      <c r="AA8" s="7"/>
      <c r="AB8" s="7">
        <f t="shared" si="14"/>
        <v>10</v>
      </c>
      <c r="AC8" s="7">
        <f t="shared" si="15"/>
        <v>-46034</v>
      </c>
      <c r="AD8" s="7">
        <f t="shared" ca="1" si="16"/>
        <v>100</v>
      </c>
      <c r="AE8" s="20">
        <f t="shared" si="17"/>
        <v>46053</v>
      </c>
      <c r="AF8" s="20">
        <f t="shared" si="18"/>
        <v>46022</v>
      </c>
      <c r="AG8" s="20">
        <f t="shared" si="19"/>
        <v>46081</v>
      </c>
      <c r="AH8" s="7">
        <f t="shared" si="20"/>
        <v>31</v>
      </c>
      <c r="AI8" s="7" t="str">
        <f t="shared" si="21"/>
        <v>Yes</v>
      </c>
      <c r="AJ8" s="7" t="str">
        <f t="shared" si="22"/>
        <v>No</v>
      </c>
      <c r="AK8" s="22">
        <f t="shared" si="23"/>
        <v>19</v>
      </c>
      <c r="AL8" s="20">
        <f t="shared" si="24"/>
        <v>31</v>
      </c>
      <c r="AM8" s="7" t="str">
        <f t="shared" si="25"/>
        <v/>
      </c>
      <c r="AN8" s="7"/>
      <c r="AO8" s="20">
        <f t="shared" si="26"/>
        <v>46053</v>
      </c>
      <c r="AP8" s="7" t="str">
        <f t="shared" si="27"/>
        <v>No</v>
      </c>
      <c r="AQ8" s="7" t="str">
        <f t="shared" si="28"/>
        <v>Jan-2026</v>
      </c>
      <c r="AR8" s="20">
        <f t="shared" ca="1" si="29"/>
        <v>8</v>
      </c>
    </row>
    <row r="9" spans="3:44" x14ac:dyDescent="0.3">
      <c r="C9" s="2">
        <v>107</v>
      </c>
      <c r="D9" s="1" t="s">
        <v>22</v>
      </c>
      <c r="E9" s="1" t="s">
        <v>14</v>
      </c>
      <c r="F9" s="12">
        <v>46037</v>
      </c>
      <c r="G9" s="12">
        <v>46044</v>
      </c>
      <c r="H9" s="12">
        <v>46043</v>
      </c>
      <c r="I9" s="12">
        <v>46042</v>
      </c>
      <c r="J9" s="1" t="s">
        <v>11</v>
      </c>
      <c r="K9" s="7" t="s">
        <v>12</v>
      </c>
      <c r="L9" s="7">
        <f t="shared" si="0"/>
        <v>2026</v>
      </c>
      <c r="M9" s="7" t="str">
        <f t="shared" si="1"/>
        <v>Jan</v>
      </c>
      <c r="N9" s="7">
        <f t="shared" si="2"/>
        <v>15</v>
      </c>
      <c r="O9" s="7" t="str">
        <f t="shared" si="3"/>
        <v>15-Jan-2026</v>
      </c>
      <c r="P9" s="20">
        <f t="shared" ca="1" si="4"/>
        <v>46134</v>
      </c>
      <c r="Q9" s="21">
        <f t="shared" ca="1" si="5"/>
        <v>46134.403001967592</v>
      </c>
      <c r="R9" s="7">
        <f t="shared" si="6"/>
        <v>7</v>
      </c>
      <c r="S9" s="7">
        <f t="shared" ca="1" si="7"/>
        <v>92</v>
      </c>
      <c r="T9" s="7" t="str">
        <f t="shared" si="8"/>
        <v>Thursday</v>
      </c>
      <c r="U9" s="7" t="str">
        <f t="shared" si="9"/>
        <v>Weekday</v>
      </c>
      <c r="V9" s="7">
        <f t="shared" si="10"/>
        <v>1</v>
      </c>
      <c r="W9" s="7">
        <f t="shared" si="11"/>
        <v>6</v>
      </c>
      <c r="X9" s="7">
        <f t="shared" si="12"/>
        <v>0</v>
      </c>
      <c r="Y9" s="7" t="str">
        <f t="shared" si="13"/>
        <v>Delayed</v>
      </c>
      <c r="Z9" s="7">
        <f>IF(Dataset!I9="","",IF(Dataset!I9&gt;Dataset!H9,Dataset!I9-Dataset!H9,0))</f>
        <v>0</v>
      </c>
      <c r="AA9" s="7"/>
      <c r="AB9" s="7">
        <f t="shared" si="14"/>
        <v>6</v>
      </c>
      <c r="AC9" s="7">
        <f t="shared" si="15"/>
        <v>5</v>
      </c>
      <c r="AD9" s="7" t="str">
        <f t="shared" si="16"/>
        <v/>
      </c>
      <c r="AE9" s="20">
        <f t="shared" si="17"/>
        <v>46053</v>
      </c>
      <c r="AF9" s="20">
        <f t="shared" si="18"/>
        <v>46022</v>
      </c>
      <c r="AG9" s="20">
        <f t="shared" si="19"/>
        <v>46081</v>
      </c>
      <c r="AH9" s="7">
        <f t="shared" si="20"/>
        <v>31</v>
      </c>
      <c r="AI9" s="7" t="str">
        <f t="shared" si="21"/>
        <v>Yes</v>
      </c>
      <c r="AJ9" s="7" t="str">
        <f t="shared" si="22"/>
        <v>No</v>
      </c>
      <c r="AK9" s="22">
        <f t="shared" si="23"/>
        <v>16</v>
      </c>
      <c r="AL9" s="20">
        <f t="shared" si="24"/>
        <v>46053</v>
      </c>
      <c r="AM9" s="7" t="str">
        <f t="shared" si="25"/>
        <v>Completed</v>
      </c>
      <c r="AN9" s="7"/>
      <c r="AO9" s="20">
        <f t="shared" si="26"/>
        <v>46053</v>
      </c>
      <c r="AP9" s="7" t="str">
        <f t="shared" si="27"/>
        <v>No</v>
      </c>
      <c r="AQ9" s="7" t="str">
        <f t="shared" si="28"/>
        <v>Jan-2026</v>
      </c>
      <c r="AR9" s="20">
        <f t="shared" ca="1" si="29"/>
        <v>8</v>
      </c>
    </row>
    <row r="10" spans="3:44" x14ac:dyDescent="0.3">
      <c r="C10" s="2">
        <v>108</v>
      </c>
      <c r="D10" s="1" t="s">
        <v>23</v>
      </c>
      <c r="E10" s="1" t="s">
        <v>19</v>
      </c>
      <c r="F10" s="12">
        <v>46040</v>
      </c>
      <c r="G10" s="12">
        <v>46050</v>
      </c>
      <c r="H10" s="12">
        <v>46049</v>
      </c>
      <c r="I10" s="12">
        <v>46052</v>
      </c>
      <c r="J10" s="1" t="s">
        <v>11</v>
      </c>
      <c r="K10" s="7" t="s">
        <v>12</v>
      </c>
      <c r="L10" s="7">
        <f t="shared" si="0"/>
        <v>2026</v>
      </c>
      <c r="M10" s="7" t="str">
        <f t="shared" si="1"/>
        <v>Jan</v>
      </c>
      <c r="N10" s="7">
        <f t="shared" si="2"/>
        <v>18</v>
      </c>
      <c r="O10" s="7" t="str">
        <f t="shared" si="3"/>
        <v>18-Jan-2026</v>
      </c>
      <c r="P10" s="20">
        <f t="shared" ca="1" si="4"/>
        <v>46134</v>
      </c>
      <c r="Q10" s="21">
        <f t="shared" ca="1" si="5"/>
        <v>46134.403001967592</v>
      </c>
      <c r="R10" s="7">
        <f t="shared" si="6"/>
        <v>10</v>
      </c>
      <c r="S10" s="7">
        <f t="shared" ca="1" si="7"/>
        <v>82</v>
      </c>
      <c r="T10" s="7" t="str">
        <f t="shared" si="8"/>
        <v>Sunday</v>
      </c>
      <c r="U10" s="7" t="str">
        <f t="shared" si="9"/>
        <v>Weekday</v>
      </c>
      <c r="V10" s="7">
        <f t="shared" si="10"/>
        <v>1</v>
      </c>
      <c r="W10" s="7">
        <f t="shared" si="11"/>
        <v>8</v>
      </c>
      <c r="X10" s="7">
        <f t="shared" si="12"/>
        <v>3</v>
      </c>
      <c r="Y10" s="7" t="str">
        <f t="shared" si="13"/>
        <v>On Time</v>
      </c>
      <c r="Z10" s="7">
        <f>IF(Dataset!I10="","",IF(Dataset!I10&gt;Dataset!H10,Dataset!I10-Dataset!H10,0))</f>
        <v>3</v>
      </c>
      <c r="AA10" s="7"/>
      <c r="AB10" s="7">
        <f t="shared" si="14"/>
        <v>8</v>
      </c>
      <c r="AC10" s="7">
        <f t="shared" si="15"/>
        <v>12</v>
      </c>
      <c r="AD10" s="7" t="str">
        <f t="shared" si="16"/>
        <v/>
      </c>
      <c r="AE10" s="20">
        <f t="shared" si="17"/>
        <v>46053</v>
      </c>
      <c r="AF10" s="20">
        <f t="shared" si="18"/>
        <v>46022</v>
      </c>
      <c r="AG10" s="20">
        <f t="shared" si="19"/>
        <v>46081</v>
      </c>
      <c r="AH10" s="7">
        <f t="shared" si="20"/>
        <v>31</v>
      </c>
      <c r="AI10" s="7" t="str">
        <f t="shared" si="21"/>
        <v>Yes</v>
      </c>
      <c r="AJ10" s="7" t="str">
        <f t="shared" si="22"/>
        <v>No</v>
      </c>
      <c r="AK10" s="22">
        <f t="shared" si="23"/>
        <v>13</v>
      </c>
      <c r="AL10" s="20">
        <f t="shared" si="24"/>
        <v>46053</v>
      </c>
      <c r="AM10" s="7" t="str">
        <f t="shared" si="25"/>
        <v>Completed</v>
      </c>
      <c r="AN10" s="7"/>
      <c r="AO10" s="20">
        <f t="shared" si="26"/>
        <v>46053</v>
      </c>
      <c r="AP10" s="7" t="str">
        <f t="shared" si="27"/>
        <v>No</v>
      </c>
      <c r="AQ10" s="7" t="str">
        <f t="shared" si="28"/>
        <v>Jan-2026</v>
      </c>
      <c r="AR10" s="20">
        <f t="shared" ca="1" si="29"/>
        <v>8</v>
      </c>
    </row>
    <row r="11" spans="3:44" x14ac:dyDescent="0.3">
      <c r="C11" s="2">
        <v>109</v>
      </c>
      <c r="D11" s="1" t="s">
        <v>24</v>
      </c>
      <c r="E11" s="1" t="s">
        <v>16</v>
      </c>
      <c r="F11" s="12">
        <v>46042</v>
      </c>
      <c r="G11" s="12">
        <v>46052</v>
      </c>
      <c r="H11" s="12">
        <v>46051</v>
      </c>
      <c r="I11" s="12"/>
      <c r="J11" s="1" t="s">
        <v>17</v>
      </c>
      <c r="K11" s="7" t="s">
        <v>12</v>
      </c>
      <c r="L11" s="7">
        <f t="shared" si="0"/>
        <v>2026</v>
      </c>
      <c r="M11" s="7" t="str">
        <f t="shared" si="1"/>
        <v>Jan</v>
      </c>
      <c r="N11" s="7">
        <f t="shared" si="2"/>
        <v>20</v>
      </c>
      <c r="O11" s="7" t="str">
        <f t="shared" si="3"/>
        <v>20-Jan-2026</v>
      </c>
      <c r="P11" s="20">
        <f t="shared" ca="1" si="4"/>
        <v>46134</v>
      </c>
      <c r="Q11" s="21">
        <f t="shared" ca="1" si="5"/>
        <v>46134.403001967592</v>
      </c>
      <c r="R11" s="7">
        <f t="shared" si="6"/>
        <v>10</v>
      </c>
      <c r="S11" s="7">
        <f t="shared" ca="1" si="7"/>
        <v>46134</v>
      </c>
      <c r="T11" s="7" t="str">
        <f t="shared" si="8"/>
        <v>Tuesday</v>
      </c>
      <c r="U11" s="7" t="str">
        <f t="shared" si="9"/>
        <v xml:space="preserve"> Not Completed</v>
      </c>
      <c r="V11" s="7" t="str">
        <f t="shared" si="10"/>
        <v/>
      </c>
      <c r="W11" s="7">
        <f t="shared" si="11"/>
        <v>9</v>
      </c>
      <c r="X11" s="7" t="str">
        <f t="shared" si="12"/>
        <v/>
      </c>
      <c r="Y11" s="7" t="str">
        <f t="shared" si="13"/>
        <v>Delayed</v>
      </c>
      <c r="Z11" s="7" t="str">
        <f>IF(Dataset!I11="","",IF(Dataset!I11&gt;Dataset!H11,Dataset!I11-Dataset!H11,0))</f>
        <v/>
      </c>
      <c r="AA11" s="7"/>
      <c r="AB11" s="7">
        <f t="shared" si="14"/>
        <v>9</v>
      </c>
      <c r="AC11" s="7">
        <f t="shared" si="15"/>
        <v>-46042</v>
      </c>
      <c r="AD11" s="7">
        <f t="shared" ca="1" si="16"/>
        <v>92</v>
      </c>
      <c r="AE11" s="20">
        <f t="shared" si="17"/>
        <v>46053</v>
      </c>
      <c r="AF11" s="20">
        <f t="shared" si="18"/>
        <v>46022</v>
      </c>
      <c r="AG11" s="20">
        <f t="shared" si="19"/>
        <v>46081</v>
      </c>
      <c r="AH11" s="7">
        <f t="shared" si="20"/>
        <v>31</v>
      </c>
      <c r="AI11" s="7" t="str">
        <f t="shared" si="21"/>
        <v>Yes</v>
      </c>
      <c r="AJ11" s="7" t="str">
        <f t="shared" si="22"/>
        <v>No</v>
      </c>
      <c r="AK11" s="22">
        <f t="shared" si="23"/>
        <v>11</v>
      </c>
      <c r="AL11" s="20">
        <f t="shared" si="24"/>
        <v>31</v>
      </c>
      <c r="AM11" s="7" t="str">
        <f t="shared" si="25"/>
        <v/>
      </c>
      <c r="AN11" s="7"/>
      <c r="AO11" s="20">
        <f t="shared" si="26"/>
        <v>46053</v>
      </c>
      <c r="AP11" s="7" t="str">
        <f t="shared" si="27"/>
        <v>No</v>
      </c>
      <c r="AQ11" s="7" t="str">
        <f t="shared" si="28"/>
        <v>Jan-2026</v>
      </c>
      <c r="AR11" s="20">
        <f t="shared" ca="1" si="29"/>
        <v>8</v>
      </c>
    </row>
    <row r="12" spans="3:44" ht="15" thickBot="1" x14ac:dyDescent="0.35">
      <c r="C12" s="3">
        <v>110</v>
      </c>
      <c r="D12" s="4" t="s">
        <v>25</v>
      </c>
      <c r="E12" s="4" t="s">
        <v>10</v>
      </c>
      <c r="F12" s="13">
        <v>46044</v>
      </c>
      <c r="G12" s="13">
        <v>46055</v>
      </c>
      <c r="H12" s="13">
        <v>46054</v>
      </c>
      <c r="I12" s="13">
        <v>46055</v>
      </c>
      <c r="J12" s="4" t="s">
        <v>11</v>
      </c>
      <c r="K12" s="7" t="s">
        <v>12</v>
      </c>
      <c r="L12" s="7">
        <f t="shared" si="0"/>
        <v>2026</v>
      </c>
      <c r="M12" s="7" t="str">
        <f t="shared" si="1"/>
        <v>Jan</v>
      </c>
      <c r="N12" s="7">
        <f>DAY(F12)</f>
        <v>22</v>
      </c>
      <c r="O12" s="7" t="str">
        <f t="shared" si="3"/>
        <v>22-Jan-2026</v>
      </c>
      <c r="P12" s="20">
        <f ca="1">TODAY()</f>
        <v>46134</v>
      </c>
      <c r="Q12" s="21">
        <f t="shared" ca="1" si="5"/>
        <v>46134.403001967592</v>
      </c>
      <c r="R12" s="7">
        <f>_xlfn.DAYS(G12,F12)</f>
        <v>11</v>
      </c>
      <c r="S12" s="7">
        <f t="shared" ca="1" si="7"/>
        <v>79</v>
      </c>
      <c r="T12" s="7" t="str">
        <f t="shared" si="8"/>
        <v>Thursday</v>
      </c>
      <c r="U12" s="7" t="str">
        <f t="shared" si="9"/>
        <v>Weekday</v>
      </c>
      <c r="V12" s="7">
        <f t="shared" si="10"/>
        <v>2</v>
      </c>
      <c r="W12" s="7">
        <f>NETWORKDAYS(F12,G12)</f>
        <v>8</v>
      </c>
      <c r="X12" s="7">
        <f t="shared" si="12"/>
        <v>1</v>
      </c>
      <c r="Y12" s="7" t="str">
        <f t="shared" si="13"/>
        <v>On Time</v>
      </c>
      <c r="Z12" s="7">
        <f>IF(Dataset!I12="","",IF(Dataset!I12&gt;Dataset!H12,Dataset!I12-Dataset!H12,0))</f>
        <v>1</v>
      </c>
      <c r="AA12" s="7"/>
      <c r="AB12" s="7">
        <f t="shared" si="14"/>
        <v>8</v>
      </c>
      <c r="AC12" s="7">
        <f t="shared" si="15"/>
        <v>11</v>
      </c>
      <c r="AD12" s="7" t="str">
        <f t="shared" si="16"/>
        <v/>
      </c>
      <c r="AE12" s="20">
        <f t="shared" si="17"/>
        <v>46053</v>
      </c>
      <c r="AF12" s="20">
        <f t="shared" si="18"/>
        <v>46022</v>
      </c>
      <c r="AG12" s="20">
        <f t="shared" si="19"/>
        <v>46081</v>
      </c>
      <c r="AH12" s="7">
        <f t="shared" si="20"/>
        <v>31</v>
      </c>
      <c r="AI12" s="7" t="str">
        <f t="shared" si="21"/>
        <v>No</v>
      </c>
      <c r="AJ12" s="7" t="str">
        <f t="shared" si="22"/>
        <v>No</v>
      </c>
      <c r="AK12" s="22">
        <f t="shared" si="23"/>
        <v>9</v>
      </c>
      <c r="AL12" s="20">
        <f t="shared" si="24"/>
        <v>46081</v>
      </c>
      <c r="AM12" s="7" t="str">
        <f t="shared" si="25"/>
        <v>Completed</v>
      </c>
      <c r="AN12" s="7"/>
      <c r="AO12" s="20">
        <f t="shared" si="26"/>
        <v>46053</v>
      </c>
      <c r="AP12" s="7" t="str">
        <f t="shared" si="27"/>
        <v>No</v>
      </c>
      <c r="AQ12" s="7" t="str">
        <f t="shared" si="28"/>
        <v>Jan-2026</v>
      </c>
      <c r="AR12" s="20">
        <f t="shared" ca="1" si="29"/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1CA8-FF59-4A1E-A184-27694C37979B}">
  <dimension ref="B2:C39"/>
  <sheetViews>
    <sheetView showGridLines="0" topLeftCell="A18" workbookViewId="0">
      <selection activeCell="B34" sqref="B34"/>
    </sheetView>
  </sheetViews>
  <sheetFormatPr defaultRowHeight="14.4" x14ac:dyDescent="0.3"/>
  <cols>
    <col min="2" max="2" width="74.77734375" customWidth="1"/>
    <col min="3" max="3" width="22.6640625" customWidth="1"/>
  </cols>
  <sheetData>
    <row r="2" spans="2:2" ht="15" thickBot="1" x14ac:dyDescent="0.35"/>
    <row r="3" spans="2:2" ht="15" thickBot="1" x14ac:dyDescent="0.35">
      <c r="B3" s="16" t="s">
        <v>49</v>
      </c>
    </row>
    <row r="4" spans="2:2" x14ac:dyDescent="0.3">
      <c r="B4" s="14" t="s">
        <v>29</v>
      </c>
    </row>
    <row r="5" spans="2:2" x14ac:dyDescent="0.3">
      <c r="B5" s="14" t="s">
        <v>47</v>
      </c>
    </row>
    <row r="6" spans="2:2" x14ac:dyDescent="0.3">
      <c r="B6" s="14" t="s">
        <v>48</v>
      </c>
    </row>
    <row r="7" spans="2:2" x14ac:dyDescent="0.3">
      <c r="B7" s="14" t="s">
        <v>30</v>
      </c>
    </row>
    <row r="8" spans="2:2" x14ac:dyDescent="0.3">
      <c r="B8" s="14" t="s">
        <v>31</v>
      </c>
    </row>
    <row r="9" spans="2:2" x14ac:dyDescent="0.3">
      <c r="B9" s="14" t="s">
        <v>32</v>
      </c>
    </row>
    <row r="10" spans="2:2" x14ac:dyDescent="0.3">
      <c r="B10" s="14" t="s">
        <v>33</v>
      </c>
    </row>
    <row r="11" spans="2:2" x14ac:dyDescent="0.3">
      <c r="B11" s="14" t="s">
        <v>34</v>
      </c>
    </row>
    <row r="12" spans="2:2" x14ac:dyDescent="0.3">
      <c r="B12" s="14" t="s">
        <v>35</v>
      </c>
    </row>
    <row r="13" spans="2:2" x14ac:dyDescent="0.3">
      <c r="B13" s="14" t="s">
        <v>36</v>
      </c>
    </row>
    <row r="14" spans="2:2" x14ac:dyDescent="0.3">
      <c r="B14" s="14" t="s">
        <v>37</v>
      </c>
    </row>
    <row r="15" spans="2:2" x14ac:dyDescent="0.3">
      <c r="B15" s="14" t="s">
        <v>38</v>
      </c>
    </row>
    <row r="16" spans="2:2" x14ac:dyDescent="0.3">
      <c r="B16" s="14" t="s">
        <v>39</v>
      </c>
    </row>
    <row r="17" spans="2:3" x14ac:dyDescent="0.3">
      <c r="B17" s="14" t="s">
        <v>40</v>
      </c>
    </row>
    <row r="18" spans="2:3" x14ac:dyDescent="0.3">
      <c r="B18" s="14" t="s">
        <v>41</v>
      </c>
    </row>
    <row r="19" spans="2:3" x14ac:dyDescent="0.3">
      <c r="B19" s="14" t="s">
        <v>42</v>
      </c>
    </row>
    <row r="20" spans="2:3" x14ac:dyDescent="0.3">
      <c r="B20" s="14" t="s">
        <v>43</v>
      </c>
    </row>
    <row r="21" spans="2:3" x14ac:dyDescent="0.3">
      <c r="B21" s="14" t="s">
        <v>44</v>
      </c>
    </row>
    <row r="22" spans="2:3" ht="15" thickBot="1" x14ac:dyDescent="0.35">
      <c r="B22" s="14" t="s">
        <v>45</v>
      </c>
    </row>
    <row r="23" spans="2:3" x14ac:dyDescent="0.3">
      <c r="B23" s="23" t="s">
        <v>46</v>
      </c>
      <c r="C23" s="17" t="s">
        <v>26</v>
      </c>
    </row>
    <row r="24" spans="2:3" x14ac:dyDescent="0.3">
      <c r="B24" s="24"/>
      <c r="C24" s="18" t="s">
        <v>27</v>
      </c>
    </row>
    <row r="25" spans="2:3" ht="15" thickBot="1" x14ac:dyDescent="0.35">
      <c r="B25" s="25"/>
      <c r="C25" s="19" t="s">
        <v>28</v>
      </c>
    </row>
    <row r="26" spans="2:3" x14ac:dyDescent="0.3">
      <c r="B26" s="14" t="s">
        <v>50</v>
      </c>
    </row>
    <row r="27" spans="2:3" x14ac:dyDescent="0.3">
      <c r="B27" s="14" t="s">
        <v>51</v>
      </c>
    </row>
    <row r="28" spans="2:3" x14ac:dyDescent="0.3">
      <c r="B28" s="14" t="s">
        <v>52</v>
      </c>
    </row>
    <row r="29" spans="2:3" x14ac:dyDescent="0.3">
      <c r="B29" s="14" t="s">
        <v>53</v>
      </c>
    </row>
    <row r="30" spans="2:3" x14ac:dyDescent="0.3">
      <c r="B30" s="14" t="s">
        <v>54</v>
      </c>
    </row>
    <row r="31" spans="2:3" x14ac:dyDescent="0.3">
      <c r="B31" s="14" t="s">
        <v>55</v>
      </c>
    </row>
    <row r="32" spans="2:3" x14ac:dyDescent="0.3">
      <c r="B32" s="14" t="s">
        <v>56</v>
      </c>
    </row>
    <row r="33" spans="2:2" x14ac:dyDescent="0.3">
      <c r="B33" s="14" t="s">
        <v>57</v>
      </c>
    </row>
    <row r="34" spans="2:2" x14ac:dyDescent="0.3">
      <c r="B34" s="14" t="s">
        <v>58</v>
      </c>
    </row>
    <row r="35" spans="2:2" x14ac:dyDescent="0.3">
      <c r="B35" s="14" t="s">
        <v>59</v>
      </c>
    </row>
    <row r="36" spans="2:2" x14ac:dyDescent="0.3">
      <c r="B36" s="14" t="s">
        <v>60</v>
      </c>
    </row>
    <row r="37" spans="2:2" x14ac:dyDescent="0.3">
      <c r="B37" s="14" t="s">
        <v>61</v>
      </c>
    </row>
    <row r="38" spans="2:2" x14ac:dyDescent="0.3">
      <c r="B38" s="14" t="s">
        <v>62</v>
      </c>
    </row>
    <row r="39" spans="2:2" ht="15" thickBot="1" x14ac:dyDescent="0.35">
      <c r="B39" s="15" t="s">
        <v>63</v>
      </c>
    </row>
  </sheetData>
  <mergeCells count="1"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ROJA V</cp:lastModifiedBy>
  <dcterms:created xsi:type="dcterms:W3CDTF">2026-04-21T06:08:24Z</dcterms:created>
  <dcterms:modified xsi:type="dcterms:W3CDTF">2026-04-22T04:10:23Z</dcterms:modified>
</cp:coreProperties>
</file>