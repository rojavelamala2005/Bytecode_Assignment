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4d9a39e7045c10b/Desktop/Bytecode_Assignments/Stacctictics assignments/"/>
    </mc:Choice>
  </mc:AlternateContent>
  <xr:revisionPtr revIDLastSave="0" documentId="8_{70B40F9E-2C22-4F17-A8B7-EF859AB0EA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Sheet2!$D$3:$F$272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2" l="1"/>
  <c r="G48" i="2"/>
  <c r="F48" i="2"/>
  <c r="H44" i="2"/>
  <c r="G44" i="2"/>
  <c r="F44" i="2"/>
  <c r="H40" i="2"/>
  <c r="G40" i="2"/>
  <c r="F40" i="2"/>
  <c r="G4" i="2" l="1"/>
  <c r="E4" i="2"/>
  <c r="F4" i="2"/>
  <c r="E237" i="2"/>
  <c r="H4" i="2" l="1"/>
  <c r="I4" i="2" s="1"/>
</calcChain>
</file>

<file path=xl/sharedStrings.xml><?xml version="1.0" encoding="utf-8"?>
<sst xmlns="http://schemas.openxmlformats.org/spreadsheetml/2006/main" count="4623" uniqueCount="467">
  <si>
    <t>OrderID</t>
  </si>
  <si>
    <t>OrderDate</t>
  </si>
  <si>
    <t>Region</t>
  </si>
  <si>
    <t>State</t>
  </si>
  <si>
    <t>City</t>
  </si>
  <si>
    <t>CustomerID</t>
  </si>
  <si>
    <t>C_Name</t>
  </si>
  <si>
    <t>Gender</t>
  </si>
  <si>
    <t>Age</t>
  </si>
  <si>
    <t>Product</t>
  </si>
  <si>
    <t>Category</t>
  </si>
  <si>
    <t>SalesRep</t>
  </si>
  <si>
    <t>Channel</t>
  </si>
  <si>
    <t>Units_Sold</t>
  </si>
  <si>
    <t>UnitPrice</t>
  </si>
  <si>
    <t>Discount</t>
  </si>
  <si>
    <t>Price_per_Unit</t>
  </si>
  <si>
    <t>Cost</t>
  </si>
  <si>
    <t>Profit</t>
  </si>
  <si>
    <t>PaymentMode</t>
  </si>
  <si>
    <t>Rating</t>
  </si>
  <si>
    <t>DeliveryDays</t>
  </si>
  <si>
    <t>Returned</t>
  </si>
  <si>
    <t>Total_Sales</t>
  </si>
  <si>
    <t>Year</t>
  </si>
  <si>
    <t>Month</t>
  </si>
  <si>
    <t>Day</t>
  </si>
  <si>
    <t>Day_FullName</t>
  </si>
  <si>
    <t>Day_ShortName</t>
  </si>
  <si>
    <t>Month_FullName</t>
  </si>
  <si>
    <t>Month_ShortName</t>
  </si>
  <si>
    <t>Online/Offline</t>
  </si>
  <si>
    <t>North</t>
  </si>
  <si>
    <t>West Bengal</t>
  </si>
  <si>
    <t>Kolkata</t>
  </si>
  <si>
    <t>C1001</t>
  </si>
  <si>
    <t>Neha</t>
  </si>
  <si>
    <t>Female</t>
  </si>
  <si>
    <t>Headphones</t>
  </si>
  <si>
    <t>Accessories</t>
  </si>
  <si>
    <t>Deepa</t>
  </si>
  <si>
    <t>App</t>
  </si>
  <si>
    <t>UPI</t>
  </si>
  <si>
    <t>No</t>
  </si>
  <si>
    <t>Sunday</t>
  </si>
  <si>
    <t>Sun</t>
  </si>
  <si>
    <t>September</t>
  </si>
  <si>
    <t>Sep</t>
  </si>
  <si>
    <t>Online</t>
  </si>
  <si>
    <t>West</t>
  </si>
  <si>
    <t>Telangana</t>
  </si>
  <si>
    <t>Delhi</t>
  </si>
  <si>
    <t>C1002</t>
  </si>
  <si>
    <t>Vikram</t>
  </si>
  <si>
    <t>Male</t>
  </si>
  <si>
    <t>Monitor</t>
  </si>
  <si>
    <t>Electronics</t>
  </si>
  <si>
    <t>Priya</t>
  </si>
  <si>
    <t>Store</t>
  </si>
  <si>
    <t>Tuesday</t>
  </si>
  <si>
    <t>Tue</t>
  </si>
  <si>
    <t>August</t>
  </si>
  <si>
    <t>Aug</t>
  </si>
  <si>
    <t>C1003</t>
  </si>
  <si>
    <t>Arjun</t>
  </si>
  <si>
    <t>Laptop</t>
  </si>
  <si>
    <t>Kiran</t>
  </si>
  <si>
    <t>GooglePay</t>
  </si>
  <si>
    <t>Wednesday</t>
  </si>
  <si>
    <t>Wed</t>
  </si>
  <si>
    <t>July</t>
  </si>
  <si>
    <t>Jul</t>
  </si>
  <si>
    <t>East</t>
  </si>
  <si>
    <t>C1004</t>
  </si>
  <si>
    <t>Amit</t>
  </si>
  <si>
    <t>Ravi</t>
  </si>
  <si>
    <t>Yes</t>
  </si>
  <si>
    <t>Saturday</t>
  </si>
  <si>
    <t>Sat</t>
  </si>
  <si>
    <t>February</t>
  </si>
  <si>
    <t>Feb</t>
  </si>
  <si>
    <t>Maharashtra</t>
  </si>
  <si>
    <t>Mumbai</t>
  </si>
  <si>
    <t>C1005</t>
  </si>
  <si>
    <t>Cash</t>
  </si>
  <si>
    <t>June</t>
  </si>
  <si>
    <t>Jun</t>
  </si>
  <si>
    <t>Offline</t>
  </si>
  <si>
    <t>C1006</t>
  </si>
  <si>
    <t>Suresh</t>
  </si>
  <si>
    <t>Mobile</t>
  </si>
  <si>
    <t>C1007</t>
  </si>
  <si>
    <t>Pooja</t>
  </si>
  <si>
    <t>C1008</t>
  </si>
  <si>
    <t>Rahul</t>
  </si>
  <si>
    <t>Partner</t>
  </si>
  <si>
    <t>May</t>
  </si>
  <si>
    <t>C1009</t>
  </si>
  <si>
    <t>Printer</t>
  </si>
  <si>
    <t>March</t>
  </si>
  <si>
    <t>Mar</t>
  </si>
  <si>
    <t>Karnataka</t>
  </si>
  <si>
    <t>C1010</t>
  </si>
  <si>
    <t>Keyboard</t>
  </si>
  <si>
    <t>Sneha</t>
  </si>
  <si>
    <t>Card</t>
  </si>
  <si>
    <t>offline</t>
  </si>
  <si>
    <t>South</t>
  </si>
  <si>
    <t>C1011</t>
  </si>
  <si>
    <t>Mouse</t>
  </si>
  <si>
    <t>Monday</t>
  </si>
  <si>
    <t>Mon</t>
  </si>
  <si>
    <t>December</t>
  </si>
  <si>
    <t>Dec</t>
  </si>
  <si>
    <t>C1012</t>
  </si>
  <si>
    <t>Friday</t>
  </si>
  <si>
    <t>Fri</t>
  </si>
  <si>
    <t>C1013</t>
  </si>
  <si>
    <t>Meera</t>
  </si>
  <si>
    <t>January</t>
  </si>
  <si>
    <t>Jan</t>
  </si>
  <si>
    <t>C1014</t>
  </si>
  <si>
    <t>C1015</t>
  </si>
  <si>
    <t>Ajay</t>
  </si>
  <si>
    <t>Anil</t>
  </si>
  <si>
    <t>October</t>
  </si>
  <si>
    <t>Oct</t>
  </si>
  <si>
    <t>Bengaluru</t>
  </si>
  <si>
    <t>C1016</t>
  </si>
  <si>
    <t>Hyderabad</t>
  </si>
  <si>
    <t>C1017</t>
  </si>
  <si>
    <t>C1018</t>
  </si>
  <si>
    <t>C1019</t>
  </si>
  <si>
    <t>C1020</t>
  </si>
  <si>
    <t>Tablet</t>
  </si>
  <si>
    <t>Thursday</t>
  </si>
  <si>
    <t>Thu</t>
  </si>
  <si>
    <t>November</t>
  </si>
  <si>
    <t>Nov</t>
  </si>
  <si>
    <t>C1021</t>
  </si>
  <si>
    <t>Raj</t>
  </si>
  <si>
    <t>C1022</t>
  </si>
  <si>
    <t>C1023</t>
  </si>
  <si>
    <t>C1024</t>
  </si>
  <si>
    <t>C1025</t>
  </si>
  <si>
    <t>Pune</t>
  </si>
  <si>
    <t>C1026</t>
  </si>
  <si>
    <t>C1027</t>
  </si>
  <si>
    <t>C1028</t>
  </si>
  <si>
    <t>C1029</t>
  </si>
  <si>
    <t>C1030</t>
  </si>
  <si>
    <t>April</t>
  </si>
  <si>
    <t>Apr</t>
  </si>
  <si>
    <t>C1031</t>
  </si>
  <si>
    <t>Divya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</si>
  <si>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</si>
  <si>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</si>
  <si>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</si>
  <si>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</si>
  <si>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</si>
  <si>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</si>
  <si>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</si>
  <si>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</si>
  <si>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</si>
  <si>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</si>
  <si>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</si>
  <si>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</si>
  <si>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</si>
  <si>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</si>
  <si>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Ananya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</si>
  <si>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</si>
  <si>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</si>
  <si>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</si>
  <si>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</si>
  <si>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</si>
  <si>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</si>
  <si>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</si>
  <si>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</si>
  <si>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</si>
  <si>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</si>
  <si>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</si>
  <si>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</si>
  <si>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</si>
  <si>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</si>
  <si>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</si>
  <si>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</si>
  <si>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</si>
  <si>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</si>
  <si>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</si>
  <si>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</si>
  <si>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</si>
  <si>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</si>
  <si>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</si>
  <si>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</si>
  <si>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</si>
  <si>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</si>
  <si>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</si>
  <si>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</si>
  <si>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</si>
  <si>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</si>
  <si>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</si>
  <si>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</si>
  <si>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</si>
  <si>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</si>
  <si>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</si>
  <si>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</si>
  <si>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</si>
  <si>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</si>
  <si>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</si>
  <si>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</si>
  <si>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</si>
  <si>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</si>
  <si>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</si>
  <si>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</si>
  <si>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</si>
  <si>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</si>
  <si>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</si>
  <si>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</si>
  <si>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</si>
  <si>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</si>
  <si>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</si>
  <si>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</si>
  <si>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</si>
  <si>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</si>
  <si>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</si>
  <si>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</si>
  <si>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</si>
  <si>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</si>
  <si>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</si>
  <si>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</si>
  <si>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</si>
  <si>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</si>
  <si>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</si>
  <si>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</si>
  <si>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</si>
  <si>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</si>
  <si>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</si>
  <si>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</si>
  <si>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</si>
  <si>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</si>
  <si>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</si>
  <si>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</si>
  <si>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</si>
  <si>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</si>
  <si>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</si>
  <si>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</si>
  <si>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</si>
  <si>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</si>
  <si>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</si>
  <si>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</si>
  <si>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</si>
  <si>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</si>
  <si>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</si>
  <si>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</si>
  <si>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</si>
  <si>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</si>
  <si>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</si>
  <si>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</si>
  <si>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</si>
  <si>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</si>
  <si>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</si>
  <si>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</si>
  <si>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</si>
  <si>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</si>
  <si>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</si>
  <si>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</si>
  <si>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</si>
  <si>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</si>
  <si>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</si>
  <si>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</si>
  <si>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</si>
  <si>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</si>
  <si>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</si>
  <si>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</si>
  <si>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</si>
  <si>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</si>
  <si>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</si>
  <si>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</si>
  <si>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</si>
  <si>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</si>
  <si>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</si>
  <si>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</si>
  <si>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</si>
  <si>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</si>
  <si>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</si>
  <si>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</si>
  <si>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</si>
  <si>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</si>
  <si>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</si>
  <si>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</si>
  <si>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</si>
  <si>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</si>
  <si>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</si>
  <si>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</si>
  <si>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</si>
  <si>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</si>
  <si>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</si>
  <si>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</si>
  <si>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</si>
  <si>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</si>
  <si>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</si>
  <si>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</si>
  <si>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</si>
  <si>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</si>
  <si>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</si>
  <si>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</si>
  <si>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</si>
  <si>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</si>
  <si>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</si>
  <si>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</si>
  <si>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</si>
  <si>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</si>
  <si>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</si>
  <si>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</si>
  <si>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</si>
  <si>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</si>
  <si>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</si>
  <si>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</si>
  <si>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</si>
  <si>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</si>
  <si>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</si>
  <si>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</si>
  <si>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</si>
  <si>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</si>
  <si>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</si>
  <si>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</si>
  <si>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</si>
  <si>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</si>
  <si>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</si>
  <si>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</si>
  <si>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</si>
  <si>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</si>
  <si>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</si>
  <si>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</si>
  <si>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Gujarat</t>
  </si>
  <si>
    <t>Ahmedabad</t>
  </si>
  <si>
    <t>C211</t>
  </si>
  <si>
    <t>C212</t>
  </si>
  <si>
    <t>Haryana</t>
  </si>
  <si>
    <t>Gurgaon</t>
  </si>
  <si>
    <t>C213</t>
  </si>
  <si>
    <t>Rohit</t>
  </si>
  <si>
    <t>Tamilnadu</t>
  </si>
  <si>
    <t>Chennai</t>
  </si>
  <si>
    <t>C214</t>
  </si>
  <si>
    <t>Swathi</t>
  </si>
  <si>
    <t>Assam</t>
  </si>
  <si>
    <t>Guwahati</t>
  </si>
  <si>
    <t>C215</t>
  </si>
  <si>
    <t>Nitin</t>
  </si>
  <si>
    <t>Goa</t>
  </si>
  <si>
    <t>Panaji</t>
  </si>
  <si>
    <t>C216</t>
  </si>
  <si>
    <t>Sonia</t>
  </si>
  <si>
    <t>C217</t>
  </si>
  <si>
    <t>Deepak</t>
  </si>
  <si>
    <t>Kerala</t>
  </si>
  <si>
    <t>Kochi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</si>
  <si>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</si>
  <si>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</si>
  <si>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</si>
  <si>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</si>
  <si>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</si>
  <si>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</si>
  <si>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</si>
  <si>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</si>
  <si>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</si>
  <si>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</si>
  <si>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</si>
  <si>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</si>
  <si>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</si>
  <si>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</si>
  <si>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</si>
  <si>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</si>
  <si>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</si>
  <si>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C226</t>
  </si>
  <si>
    <t>Asha</t>
  </si>
  <si>
    <t>C227</t>
  </si>
  <si>
    <t>Rajesh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</si>
  <si>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</si>
  <si>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</si>
  <si>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</si>
  <si>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</si>
  <si>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</si>
  <si>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</si>
  <si>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</si>
  <si>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</si>
  <si>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</si>
  <si>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</si>
  <si>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</si>
  <si>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</si>
  <si>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</si>
  <si>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</si>
  <si>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</si>
  <si>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</si>
  <si>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</si>
  <si>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</si>
  <si>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</si>
  <si>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</si>
  <si>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</si>
  <si>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</si>
  <si>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</si>
  <si>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</si>
  <si>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</si>
  <si>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</si>
  <si>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</si>
  <si>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</si>
  <si>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</si>
  <si>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</si>
  <si>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</si>
  <si>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</si>
  <si>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</si>
  <si>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</si>
  <si>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</si>
  <si>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</si>
  <si>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</si>
  <si>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</si>
  <si>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</si>
  <si>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</si>
  <si>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</si>
  <si>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</si>
  <si>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</si>
  <si>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</si>
  <si>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</si>
  <si>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</si>
  <si>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</si>
  <si>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</si>
  <si>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</si>
  <si>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</si>
  <si>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</si>
  <si>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</si>
  <si>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</si>
  <si>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</si>
  <si>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</si>
  <si>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</si>
  <si>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</si>
  <si>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</si>
  <si>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</si>
  <si>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</si>
  <si>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</si>
  <si>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</si>
  <si>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</si>
  <si>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</si>
  <si>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</si>
  <si>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</si>
  <si>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</si>
  <si>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</si>
  <si>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</si>
  <si>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</si>
  <si>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</si>
  <si>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Mean</t>
  </si>
  <si>
    <t>Median</t>
  </si>
  <si>
    <t>No.of Oberations</t>
  </si>
  <si>
    <t>Variance</t>
  </si>
  <si>
    <t>STD</t>
  </si>
  <si>
    <t>10</t>
  </si>
  <si>
    <t>More</t>
  </si>
  <si>
    <t>Frequency</t>
  </si>
  <si>
    <t>Min</t>
  </si>
  <si>
    <t>Max</t>
  </si>
  <si>
    <t>Median(Q2)</t>
  </si>
  <si>
    <t>Q1</t>
  </si>
  <si>
    <t>Q2</t>
  </si>
  <si>
    <t>Q3</t>
  </si>
  <si>
    <t>IQR</t>
  </si>
  <si>
    <t>Lower Boundary</t>
  </si>
  <si>
    <t>Upper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</si>
</sst>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2" xfId="0" applyBorder="1"/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Sheet2!$F$12:$F$18</c:f>
              <c:strCach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More</c:v>
                </c:pt>
              </c:strCache>
            </c:strRef>
          </c:cat>
          <c:val>
            <c:numRef>
              <c:f>Sheet2!$G$12:$G$18</c:f>
              <c:numCache>
                <c:formatCode>General</c:formatCode>
                <c:ptCount val="7"/>
                <c:pt idx="0">
                  <c:v>3</c:v>
                </c:pt>
                <c:pt idx="1">
                  <c:v>66</c:v>
                </c:pt>
                <c:pt idx="2">
                  <c:v>90</c:v>
                </c:pt>
                <c:pt idx="3">
                  <c:v>51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F-4F74-835A-5561170AD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536288"/>
        <c:axId val="383536768"/>
      </c:barChart>
      <c:catAx>
        <c:axId val="38353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536768"/>
        <c:crosses val="autoZero"/>
        <c:auto val="1"/>
        <c:lblAlgn val="ctr"/>
        <c:lblOffset val="100"/>
        <c:noMultiLvlLbl val="0"/>
      </c:catAx>
      <c:valAx>
        <c:axId val="383536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353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Sheet2!$D$4:$D$272</c:f>
              <c:numCache>
                <c:formatCode>General</c:formatCode>
                <c:ptCount val="26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27</c:v>
                </c:pt>
                <c:pt idx="32">
                  <c:v>27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  <c:pt idx="41">
                  <c:v>27</c:v>
                </c:pt>
                <c:pt idx="42">
                  <c:v>28</c:v>
                </c:pt>
                <c:pt idx="43">
                  <c:v>28</c:v>
                </c:pt>
                <c:pt idx="44">
                  <c:v>28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32</c:v>
                </c:pt>
                <c:pt idx="88">
                  <c:v>32</c:v>
                </c:pt>
                <c:pt idx="89">
                  <c:v>32</c:v>
                </c:pt>
                <c:pt idx="90">
                  <c:v>32</c:v>
                </c:pt>
                <c:pt idx="91">
                  <c:v>33</c:v>
                </c:pt>
                <c:pt idx="92">
                  <c:v>33</c:v>
                </c:pt>
                <c:pt idx="93">
                  <c:v>33</c:v>
                </c:pt>
                <c:pt idx="94">
                  <c:v>33</c:v>
                </c:pt>
                <c:pt idx="95">
                  <c:v>33</c:v>
                </c:pt>
                <c:pt idx="96">
                  <c:v>33</c:v>
                </c:pt>
                <c:pt idx="97">
                  <c:v>33</c:v>
                </c:pt>
                <c:pt idx="98">
                  <c:v>34</c:v>
                </c:pt>
                <c:pt idx="99">
                  <c:v>34</c:v>
                </c:pt>
                <c:pt idx="100">
                  <c:v>34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</c:v>
                </c:pt>
                <c:pt idx="108">
                  <c:v>34</c:v>
                </c:pt>
                <c:pt idx="109">
                  <c:v>34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35</c:v>
                </c:pt>
                <c:pt idx="114">
                  <c:v>35</c:v>
                </c:pt>
                <c:pt idx="115">
                  <c:v>35</c:v>
                </c:pt>
                <c:pt idx="116">
                  <c:v>35</c:v>
                </c:pt>
                <c:pt idx="117">
                  <c:v>36</c:v>
                </c:pt>
                <c:pt idx="118">
                  <c:v>36</c:v>
                </c:pt>
                <c:pt idx="119">
                  <c:v>36</c:v>
                </c:pt>
                <c:pt idx="120">
                  <c:v>36</c:v>
                </c:pt>
                <c:pt idx="121">
                  <c:v>36</c:v>
                </c:pt>
                <c:pt idx="122">
                  <c:v>36</c:v>
                </c:pt>
                <c:pt idx="123">
                  <c:v>37</c:v>
                </c:pt>
                <c:pt idx="124">
                  <c:v>37</c:v>
                </c:pt>
                <c:pt idx="125">
                  <c:v>37</c:v>
                </c:pt>
                <c:pt idx="126">
                  <c:v>37</c:v>
                </c:pt>
                <c:pt idx="127">
                  <c:v>37</c:v>
                </c:pt>
                <c:pt idx="128">
                  <c:v>37</c:v>
                </c:pt>
                <c:pt idx="129">
                  <c:v>37</c:v>
                </c:pt>
                <c:pt idx="130">
                  <c:v>38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39</c:v>
                </c:pt>
                <c:pt idx="141">
                  <c:v>39</c:v>
                </c:pt>
                <c:pt idx="142">
                  <c:v>39</c:v>
                </c:pt>
                <c:pt idx="143">
                  <c:v>39</c:v>
                </c:pt>
                <c:pt idx="144">
                  <c:v>39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41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41</c:v>
                </c:pt>
                <c:pt idx="166">
                  <c:v>41</c:v>
                </c:pt>
                <c:pt idx="167">
                  <c:v>41</c:v>
                </c:pt>
                <c:pt idx="168">
                  <c:v>42</c:v>
                </c:pt>
                <c:pt idx="169">
                  <c:v>42</c:v>
                </c:pt>
                <c:pt idx="170">
                  <c:v>42</c:v>
                </c:pt>
                <c:pt idx="171">
                  <c:v>42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47</c:v>
                </c:pt>
                <c:pt idx="197">
                  <c:v>47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48</c:v>
                </c:pt>
                <c:pt idx="203">
                  <c:v>48</c:v>
                </c:pt>
                <c:pt idx="204">
                  <c:v>49</c:v>
                </c:pt>
                <c:pt idx="205">
                  <c:v>49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52</c:v>
                </c:pt>
                <c:pt idx="217">
                  <c:v>52</c:v>
                </c:pt>
                <c:pt idx="218">
                  <c:v>52</c:v>
                </c:pt>
                <c:pt idx="219">
                  <c:v>52</c:v>
                </c:pt>
                <c:pt idx="220">
                  <c:v>52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54</c:v>
                </c:pt>
                <c:pt idx="227">
                  <c:v>54</c:v>
                </c:pt>
                <c:pt idx="228">
                  <c:v>54</c:v>
                </c:pt>
                <c:pt idx="229">
                  <c:v>55</c:v>
                </c:pt>
                <c:pt idx="230">
                  <c:v>55</c:v>
                </c:pt>
                <c:pt idx="231">
                  <c:v>55</c:v>
                </c:pt>
                <c:pt idx="232">
                  <c:v>55</c:v>
                </c:pt>
                <c:pt idx="233">
                  <c:v>56</c:v>
                </c:pt>
                <c:pt idx="234">
                  <c:v>56</c:v>
                </c:pt>
                <c:pt idx="235">
                  <c:v>56</c:v>
                </c:pt>
                <c:pt idx="236">
                  <c:v>56</c:v>
                </c:pt>
                <c:pt idx="237">
                  <c:v>57</c:v>
                </c:pt>
                <c:pt idx="238">
                  <c:v>57</c:v>
                </c:pt>
                <c:pt idx="239">
                  <c:v>57</c:v>
                </c:pt>
                <c:pt idx="240">
                  <c:v>57</c:v>
                </c:pt>
                <c:pt idx="241">
                  <c:v>57</c:v>
                </c:pt>
                <c:pt idx="242">
                  <c:v>57</c:v>
                </c:pt>
                <c:pt idx="243">
                  <c:v>57</c:v>
                </c:pt>
                <c:pt idx="244">
                  <c:v>57</c:v>
                </c:pt>
                <c:pt idx="245">
                  <c:v>58</c:v>
                </c:pt>
                <c:pt idx="246">
                  <c:v>58</c:v>
                </c:pt>
                <c:pt idx="247">
                  <c:v>58</c:v>
                </c:pt>
                <c:pt idx="248">
                  <c:v>58</c:v>
                </c:pt>
                <c:pt idx="249">
                  <c:v>58</c:v>
                </c:pt>
                <c:pt idx="250">
                  <c:v>58</c:v>
                </c:pt>
                <c:pt idx="251">
                  <c:v>58</c:v>
                </c:pt>
                <c:pt idx="252">
                  <c:v>58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</c:v>
                </c:pt>
                <c:pt idx="262">
                  <c:v>59</c:v>
                </c:pt>
                <c:pt idx="263">
                  <c:v>60</c:v>
                </c:pt>
                <c:pt idx="264">
                  <c:v>60</c:v>
                </c:pt>
                <c:pt idx="265">
                  <c:v>60</c:v>
                </c:pt>
                <c:pt idx="266">
                  <c:v>60</c:v>
                </c:pt>
                <c:pt idx="267">
                  <c:v>60</c:v>
                </c:pt>
                <c:pt idx="26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D-4B14-9EEC-490014BCB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32928"/>
        <c:axId val="383550208"/>
      </c:scatterChart>
      <c:valAx>
        <c:axId val="38353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50208"/>
        <c:crosses val="autoZero"/>
        <c:crossBetween val="midCat"/>
      </c:valAx>
      <c:valAx>
        <c:axId val="3835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3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8</xdr:row>
      <xdr:rowOff>129540</xdr:rowOff>
    </xdr:from>
    <xdr:to>
      <xdr:col>13</xdr:col>
      <xdr:colOff>388620</xdr:colOff>
      <xdr:row>18</xdr:row>
      <xdr:rowOff>121920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4F97FC-2B8C-6179-EDE5-820C72EF3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20</xdr:row>
      <xdr:rowOff>72390</xdr:rowOff>
    </xdr:from>
    <xdr:to>
      <xdr:col>11</xdr:col>
      <xdr:colOff>396240</xdr:colOff>
      <xdr:row>35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1A374D-3C53-2D29-B744-7B303A6B1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0"/>
  <sheetViews>
    <sheetView topLeftCell="A255" workbookViewId="0">
      <selection activeCell="I1" sqref="I1:I27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1001</v>
      </c>
      <c r="B2" s="2">
        <v>45907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56</v>
      </c>
      <c r="J2" t="s">
        <v>38</v>
      </c>
      <c r="K2" t="s">
        <v>39</v>
      </c>
      <c r="L2" t="s">
        <v>40</v>
      </c>
      <c r="M2" t="s">
        <v>41</v>
      </c>
      <c r="N2">
        <v>1</v>
      </c>
      <c r="O2">
        <v>2000</v>
      </c>
      <c r="P2">
        <v>10</v>
      </c>
      <c r="Q2">
        <v>1800</v>
      </c>
      <c r="R2">
        <v>1200</v>
      </c>
      <c r="S2">
        <v>600</v>
      </c>
      <c r="T2" t="s">
        <v>42</v>
      </c>
      <c r="U2">
        <v>1</v>
      </c>
      <c r="V2">
        <v>6</v>
      </c>
      <c r="W2" t="s">
        <v>43</v>
      </c>
      <c r="X2">
        <v>1800</v>
      </c>
      <c r="Y2">
        <v>2025</v>
      </c>
      <c r="Z2">
        <v>9</v>
      </c>
      <c r="AA2">
        <v>7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</row>
    <row r="3" spans="1:32" x14ac:dyDescent="0.3">
      <c r="A3">
        <v>1002</v>
      </c>
      <c r="B3" s="2">
        <v>45524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>
        <v>27</v>
      </c>
      <c r="J3" t="s">
        <v>55</v>
      </c>
      <c r="K3" t="s">
        <v>56</v>
      </c>
      <c r="L3" t="s">
        <v>57</v>
      </c>
      <c r="M3" t="s">
        <v>58</v>
      </c>
      <c r="N3">
        <v>4</v>
      </c>
      <c r="O3">
        <v>15000</v>
      </c>
      <c r="P3">
        <v>10</v>
      </c>
      <c r="Q3">
        <v>54000</v>
      </c>
      <c r="R3">
        <v>44000</v>
      </c>
      <c r="S3">
        <v>10000</v>
      </c>
      <c r="T3" t="s">
        <v>42</v>
      </c>
      <c r="U3">
        <v>3</v>
      </c>
      <c r="V3">
        <v>8</v>
      </c>
      <c r="W3" t="s">
        <v>43</v>
      </c>
      <c r="X3">
        <v>216000</v>
      </c>
      <c r="Y3">
        <v>2024</v>
      </c>
      <c r="Z3">
        <v>8</v>
      </c>
      <c r="AA3">
        <v>20</v>
      </c>
      <c r="AB3" t="s">
        <v>59</v>
      </c>
      <c r="AC3" t="s">
        <v>60</v>
      </c>
      <c r="AD3" t="s">
        <v>61</v>
      </c>
      <c r="AE3" t="s">
        <v>62</v>
      </c>
      <c r="AF3" t="s">
        <v>48</v>
      </c>
    </row>
    <row r="4" spans="1:32" x14ac:dyDescent="0.3">
      <c r="A4">
        <v>1003</v>
      </c>
      <c r="B4" s="2">
        <v>45840</v>
      </c>
      <c r="C4" t="s">
        <v>49</v>
      </c>
      <c r="D4" t="s">
        <v>50</v>
      </c>
      <c r="E4" t="s">
        <v>51</v>
      </c>
      <c r="F4" t="s">
        <v>63</v>
      </c>
      <c r="G4" t="s">
        <v>64</v>
      </c>
      <c r="H4" t="s">
        <v>54</v>
      </c>
      <c r="I4">
        <v>59</v>
      </c>
      <c r="J4" t="s">
        <v>65</v>
      </c>
      <c r="K4" t="s">
        <v>56</v>
      </c>
      <c r="L4" t="s">
        <v>66</v>
      </c>
      <c r="M4" t="s">
        <v>41</v>
      </c>
      <c r="N4">
        <v>2</v>
      </c>
      <c r="O4">
        <v>55000</v>
      </c>
      <c r="P4">
        <v>0</v>
      </c>
      <c r="Q4">
        <v>110000</v>
      </c>
      <c r="R4">
        <v>84000</v>
      </c>
      <c r="S4">
        <v>26000</v>
      </c>
      <c r="T4" t="s">
        <v>67</v>
      </c>
      <c r="U4">
        <v>2</v>
      </c>
      <c r="V4">
        <v>5</v>
      </c>
      <c r="W4" t="s">
        <v>43</v>
      </c>
      <c r="X4">
        <v>220000</v>
      </c>
      <c r="Y4">
        <v>2025</v>
      </c>
      <c r="Z4">
        <v>7</v>
      </c>
      <c r="AA4">
        <v>2</v>
      </c>
      <c r="AB4" t="s">
        <v>68</v>
      </c>
      <c r="AC4" t="s">
        <v>69</v>
      </c>
      <c r="AD4" t="s">
        <v>70</v>
      </c>
      <c r="AE4" t="s">
        <v>71</v>
      </c>
      <c r="AF4" t="s">
        <v>48</v>
      </c>
    </row>
    <row r="5" spans="1:32" x14ac:dyDescent="0.3">
      <c r="A5">
        <v>1004</v>
      </c>
      <c r="B5" s="2">
        <v>45332</v>
      </c>
      <c r="C5" t="s">
        <v>72</v>
      </c>
      <c r="D5" t="s">
        <v>51</v>
      </c>
      <c r="E5" t="s">
        <v>51</v>
      </c>
      <c r="F5" t="s">
        <v>73</v>
      </c>
      <c r="G5" t="s">
        <v>74</v>
      </c>
      <c r="H5" t="s">
        <v>54</v>
      </c>
      <c r="I5">
        <v>47</v>
      </c>
      <c r="J5" t="s">
        <v>38</v>
      </c>
      <c r="K5" t="s">
        <v>39</v>
      </c>
      <c r="L5" t="s">
        <v>75</v>
      </c>
      <c r="M5" t="s">
        <v>41</v>
      </c>
      <c r="N5">
        <v>2</v>
      </c>
      <c r="O5">
        <v>2000</v>
      </c>
      <c r="P5">
        <v>0</v>
      </c>
      <c r="Q5">
        <v>4000</v>
      </c>
      <c r="R5">
        <v>2400</v>
      </c>
      <c r="S5">
        <v>1600</v>
      </c>
      <c r="T5" t="s">
        <v>42</v>
      </c>
      <c r="U5">
        <v>4</v>
      </c>
      <c r="V5">
        <v>2</v>
      </c>
      <c r="W5" t="s">
        <v>76</v>
      </c>
      <c r="X5">
        <v>8000</v>
      </c>
      <c r="Y5">
        <v>2024</v>
      </c>
      <c r="Z5">
        <v>2</v>
      </c>
      <c r="AA5">
        <v>10</v>
      </c>
      <c r="AB5" t="s">
        <v>77</v>
      </c>
      <c r="AC5" t="s">
        <v>78</v>
      </c>
      <c r="AD5" t="s">
        <v>79</v>
      </c>
      <c r="AE5" t="s">
        <v>80</v>
      </c>
      <c r="AF5" t="s">
        <v>48</v>
      </c>
    </row>
    <row r="6" spans="1:32" x14ac:dyDescent="0.3">
      <c r="A6">
        <v>1005</v>
      </c>
      <c r="B6" s="2">
        <v>45830</v>
      </c>
      <c r="C6" t="s">
        <v>49</v>
      </c>
      <c r="D6" t="s">
        <v>81</v>
      </c>
      <c r="E6" t="s">
        <v>82</v>
      </c>
      <c r="F6" t="s">
        <v>83</v>
      </c>
      <c r="G6" t="s">
        <v>66</v>
      </c>
      <c r="H6" t="s">
        <v>54</v>
      </c>
      <c r="I6">
        <v>50</v>
      </c>
      <c r="J6" t="s">
        <v>65</v>
      </c>
      <c r="K6" t="s">
        <v>56</v>
      </c>
      <c r="L6" t="s">
        <v>66</v>
      </c>
      <c r="M6" t="s">
        <v>58</v>
      </c>
      <c r="N6">
        <v>5</v>
      </c>
      <c r="O6">
        <v>55000</v>
      </c>
      <c r="P6">
        <v>10</v>
      </c>
      <c r="Q6">
        <v>247500</v>
      </c>
      <c r="R6">
        <v>210000</v>
      </c>
      <c r="S6">
        <v>37500</v>
      </c>
      <c r="T6" t="s">
        <v>84</v>
      </c>
      <c r="U6">
        <v>1</v>
      </c>
      <c r="V6">
        <v>7</v>
      </c>
      <c r="W6" t="s">
        <v>76</v>
      </c>
      <c r="X6">
        <v>1237500</v>
      </c>
      <c r="Y6">
        <v>2025</v>
      </c>
      <c r="Z6">
        <v>6</v>
      </c>
      <c r="AA6">
        <v>22</v>
      </c>
      <c r="AB6" t="s">
        <v>44</v>
      </c>
      <c r="AC6" t="s">
        <v>45</v>
      </c>
      <c r="AD6" t="s">
        <v>85</v>
      </c>
      <c r="AE6" t="s">
        <v>86</v>
      </c>
      <c r="AF6" t="s">
        <v>87</v>
      </c>
    </row>
    <row r="7" spans="1:32" x14ac:dyDescent="0.3">
      <c r="A7">
        <v>1006</v>
      </c>
      <c r="B7" s="2">
        <v>45843</v>
      </c>
      <c r="C7" t="s">
        <v>32</v>
      </c>
      <c r="D7" t="s">
        <v>81</v>
      </c>
      <c r="E7" t="s">
        <v>82</v>
      </c>
      <c r="F7" t="s">
        <v>88</v>
      </c>
      <c r="G7" t="s">
        <v>89</v>
      </c>
      <c r="H7" t="s">
        <v>37</v>
      </c>
      <c r="I7">
        <v>43</v>
      </c>
      <c r="J7" t="s">
        <v>90</v>
      </c>
      <c r="K7" t="s">
        <v>56</v>
      </c>
      <c r="L7" t="s">
        <v>64</v>
      </c>
      <c r="M7" t="s">
        <v>41</v>
      </c>
      <c r="N7">
        <v>4</v>
      </c>
      <c r="O7">
        <v>25000</v>
      </c>
      <c r="P7">
        <v>15</v>
      </c>
      <c r="Q7">
        <v>85000</v>
      </c>
      <c r="R7">
        <v>72000</v>
      </c>
      <c r="S7">
        <v>13000</v>
      </c>
      <c r="T7" t="s">
        <v>42</v>
      </c>
      <c r="U7">
        <v>2</v>
      </c>
      <c r="V7">
        <v>1</v>
      </c>
      <c r="W7" t="s">
        <v>76</v>
      </c>
      <c r="X7">
        <v>340000</v>
      </c>
      <c r="Y7">
        <v>2025</v>
      </c>
      <c r="Z7">
        <v>7</v>
      </c>
      <c r="AA7">
        <v>5</v>
      </c>
      <c r="AB7" t="s">
        <v>77</v>
      </c>
      <c r="AC7" t="s">
        <v>78</v>
      </c>
      <c r="AD7" t="s">
        <v>70</v>
      </c>
      <c r="AE7" t="s">
        <v>71</v>
      </c>
      <c r="AF7" t="s">
        <v>48</v>
      </c>
    </row>
    <row r="8" spans="1:32" x14ac:dyDescent="0.3">
      <c r="A8">
        <v>1007</v>
      </c>
      <c r="B8" s="2">
        <v>45889</v>
      </c>
      <c r="C8" t="s">
        <v>49</v>
      </c>
      <c r="D8" t="s">
        <v>51</v>
      </c>
      <c r="E8" t="s">
        <v>51</v>
      </c>
      <c r="F8" t="s">
        <v>91</v>
      </c>
      <c r="G8" t="s">
        <v>92</v>
      </c>
      <c r="H8" t="s">
        <v>54</v>
      </c>
      <c r="I8">
        <v>39</v>
      </c>
      <c r="J8" t="s">
        <v>38</v>
      </c>
      <c r="K8" t="s">
        <v>39</v>
      </c>
      <c r="L8" t="s">
        <v>64</v>
      </c>
      <c r="M8" t="s">
        <v>58</v>
      </c>
      <c r="N8">
        <v>4</v>
      </c>
      <c r="O8">
        <v>2000</v>
      </c>
      <c r="P8">
        <v>0</v>
      </c>
      <c r="Q8">
        <v>8000</v>
      </c>
      <c r="R8">
        <v>4800</v>
      </c>
      <c r="S8">
        <v>3200</v>
      </c>
      <c r="T8" t="s">
        <v>67</v>
      </c>
      <c r="U8">
        <v>1</v>
      </c>
      <c r="V8">
        <v>6</v>
      </c>
      <c r="W8" t="s">
        <v>76</v>
      </c>
      <c r="X8">
        <v>32000</v>
      </c>
      <c r="Y8">
        <v>2025</v>
      </c>
      <c r="Z8">
        <v>8</v>
      </c>
      <c r="AA8">
        <v>20</v>
      </c>
      <c r="AB8" t="s">
        <v>68</v>
      </c>
      <c r="AC8" t="s">
        <v>69</v>
      </c>
      <c r="AD8" t="s">
        <v>61</v>
      </c>
      <c r="AE8" t="s">
        <v>62</v>
      </c>
      <c r="AF8" t="s">
        <v>48</v>
      </c>
    </row>
    <row r="9" spans="1:32" x14ac:dyDescent="0.3">
      <c r="A9">
        <v>1008</v>
      </c>
      <c r="B9" s="2">
        <v>45805</v>
      </c>
      <c r="C9" t="s">
        <v>72</v>
      </c>
      <c r="D9" t="s">
        <v>51</v>
      </c>
      <c r="E9" t="s">
        <v>51</v>
      </c>
      <c r="F9" t="s">
        <v>93</v>
      </c>
      <c r="G9" t="s">
        <v>94</v>
      </c>
      <c r="H9" t="s">
        <v>37</v>
      </c>
      <c r="I9">
        <v>29</v>
      </c>
      <c r="J9" t="s">
        <v>55</v>
      </c>
      <c r="K9" t="s">
        <v>56</v>
      </c>
      <c r="L9" t="s">
        <v>40</v>
      </c>
      <c r="M9" t="s">
        <v>95</v>
      </c>
      <c r="N9">
        <v>3</v>
      </c>
      <c r="O9">
        <v>15000</v>
      </c>
      <c r="P9">
        <v>0</v>
      </c>
      <c r="Q9">
        <v>45000</v>
      </c>
      <c r="R9">
        <v>33000</v>
      </c>
      <c r="S9">
        <v>12000</v>
      </c>
      <c r="T9" t="s">
        <v>67</v>
      </c>
      <c r="U9">
        <v>3</v>
      </c>
      <c r="V9">
        <v>2</v>
      </c>
      <c r="W9" t="s">
        <v>43</v>
      </c>
      <c r="X9">
        <v>135000</v>
      </c>
      <c r="Y9">
        <v>2025</v>
      </c>
      <c r="Z9">
        <v>5</v>
      </c>
      <c r="AA9">
        <v>28</v>
      </c>
      <c r="AB9" t="s">
        <v>68</v>
      </c>
      <c r="AC9" t="s">
        <v>69</v>
      </c>
      <c r="AD9" t="s">
        <v>96</v>
      </c>
      <c r="AE9" t="s">
        <v>96</v>
      </c>
      <c r="AF9" t="s">
        <v>48</v>
      </c>
    </row>
    <row r="10" spans="1:32" x14ac:dyDescent="0.3">
      <c r="A10">
        <v>1009</v>
      </c>
      <c r="B10" s="2">
        <v>45381</v>
      </c>
      <c r="C10" t="s">
        <v>49</v>
      </c>
      <c r="D10" t="s">
        <v>33</v>
      </c>
      <c r="E10" t="s">
        <v>51</v>
      </c>
      <c r="F10" t="s">
        <v>97</v>
      </c>
      <c r="G10" t="s">
        <v>92</v>
      </c>
      <c r="H10" t="s">
        <v>54</v>
      </c>
      <c r="I10">
        <v>60</v>
      </c>
      <c r="J10" t="s">
        <v>98</v>
      </c>
      <c r="K10" t="s">
        <v>56</v>
      </c>
      <c r="L10" t="s">
        <v>75</v>
      </c>
      <c r="M10" t="s">
        <v>58</v>
      </c>
      <c r="N10">
        <v>1</v>
      </c>
      <c r="O10">
        <v>10000</v>
      </c>
      <c r="P10">
        <v>10</v>
      </c>
      <c r="Q10">
        <v>9000</v>
      </c>
      <c r="R10">
        <v>7500</v>
      </c>
      <c r="S10">
        <v>1500</v>
      </c>
      <c r="T10" t="s">
        <v>67</v>
      </c>
      <c r="U10">
        <v>5</v>
      </c>
      <c r="V10">
        <v>2</v>
      </c>
      <c r="W10" t="s">
        <v>76</v>
      </c>
      <c r="X10">
        <v>9000</v>
      </c>
      <c r="Y10">
        <v>2024</v>
      </c>
      <c r="Z10">
        <v>3</v>
      </c>
      <c r="AA10">
        <v>30</v>
      </c>
      <c r="AB10" t="s">
        <v>77</v>
      </c>
      <c r="AC10" t="s">
        <v>78</v>
      </c>
      <c r="AD10" t="s">
        <v>99</v>
      </c>
      <c r="AE10" t="s">
        <v>100</v>
      </c>
      <c r="AF10" t="s">
        <v>48</v>
      </c>
    </row>
    <row r="11" spans="1:32" x14ac:dyDescent="0.3">
      <c r="A11">
        <v>1010</v>
      </c>
      <c r="B11" s="2">
        <v>45816</v>
      </c>
      <c r="C11" t="s">
        <v>32</v>
      </c>
      <c r="D11" t="s">
        <v>101</v>
      </c>
      <c r="E11" t="s">
        <v>51</v>
      </c>
      <c r="F11" t="s">
        <v>102</v>
      </c>
      <c r="G11" t="s">
        <v>89</v>
      </c>
      <c r="H11" t="s">
        <v>37</v>
      </c>
      <c r="I11">
        <v>37</v>
      </c>
      <c r="J11" t="s">
        <v>103</v>
      </c>
      <c r="K11" t="s">
        <v>39</v>
      </c>
      <c r="L11" t="s">
        <v>104</v>
      </c>
      <c r="M11" t="s">
        <v>41</v>
      </c>
      <c r="N11">
        <v>1</v>
      </c>
      <c r="O11">
        <v>1200</v>
      </c>
      <c r="P11">
        <v>15</v>
      </c>
      <c r="Q11">
        <v>1020</v>
      </c>
      <c r="R11">
        <v>700</v>
      </c>
      <c r="S11">
        <v>320</v>
      </c>
      <c r="T11" t="s">
        <v>105</v>
      </c>
      <c r="U11">
        <v>5</v>
      </c>
      <c r="V11">
        <v>6</v>
      </c>
      <c r="W11" t="s">
        <v>76</v>
      </c>
      <c r="X11">
        <v>1020</v>
      </c>
      <c r="Y11">
        <v>2025</v>
      </c>
      <c r="Z11">
        <v>6</v>
      </c>
      <c r="AA11">
        <v>8</v>
      </c>
      <c r="AB11" t="s">
        <v>44</v>
      </c>
      <c r="AC11" t="s">
        <v>45</v>
      </c>
      <c r="AD11" t="s">
        <v>85</v>
      </c>
      <c r="AE11" t="s">
        <v>86</v>
      </c>
      <c r="AF11" t="s">
        <v>106</v>
      </c>
    </row>
    <row r="12" spans="1:32" x14ac:dyDescent="0.3">
      <c r="A12">
        <v>1011</v>
      </c>
      <c r="B12" s="2">
        <v>45999</v>
      </c>
      <c r="C12" t="s">
        <v>107</v>
      </c>
      <c r="D12" t="s">
        <v>81</v>
      </c>
      <c r="E12" t="s">
        <v>82</v>
      </c>
      <c r="F12" t="s">
        <v>108</v>
      </c>
      <c r="G12" t="s">
        <v>36</v>
      </c>
      <c r="H12" t="s">
        <v>37</v>
      </c>
      <c r="I12">
        <v>23</v>
      </c>
      <c r="J12" t="s">
        <v>109</v>
      </c>
      <c r="K12" t="s">
        <v>39</v>
      </c>
      <c r="L12" t="s">
        <v>66</v>
      </c>
      <c r="M12" t="s">
        <v>95</v>
      </c>
      <c r="N12">
        <v>2</v>
      </c>
      <c r="O12">
        <v>800</v>
      </c>
      <c r="P12">
        <v>15</v>
      </c>
      <c r="Q12">
        <v>1360</v>
      </c>
      <c r="R12">
        <v>800</v>
      </c>
      <c r="S12">
        <v>560</v>
      </c>
      <c r="T12" t="s">
        <v>84</v>
      </c>
      <c r="U12">
        <v>4</v>
      </c>
      <c r="V12">
        <v>1</v>
      </c>
      <c r="W12" t="s">
        <v>76</v>
      </c>
      <c r="X12">
        <v>2720</v>
      </c>
      <c r="Y12">
        <v>2025</v>
      </c>
      <c r="Z12">
        <v>12</v>
      </c>
      <c r="AA12">
        <v>8</v>
      </c>
      <c r="AB12" t="s">
        <v>110</v>
      </c>
      <c r="AC12" t="s">
        <v>111</v>
      </c>
      <c r="AD12" t="s">
        <v>112</v>
      </c>
      <c r="AE12" t="s">
        <v>113</v>
      </c>
      <c r="AF12" t="s">
        <v>87</v>
      </c>
    </row>
    <row r="13" spans="1:32" x14ac:dyDescent="0.3">
      <c r="A13">
        <v>1012</v>
      </c>
      <c r="B13" s="2">
        <v>45562</v>
      </c>
      <c r="C13" t="s">
        <v>72</v>
      </c>
      <c r="D13" t="s">
        <v>51</v>
      </c>
      <c r="E13" t="s">
        <v>51</v>
      </c>
      <c r="F13" t="s">
        <v>114</v>
      </c>
      <c r="G13" t="s">
        <v>53</v>
      </c>
      <c r="H13" t="s">
        <v>37</v>
      </c>
      <c r="I13">
        <v>58</v>
      </c>
      <c r="J13" t="s">
        <v>55</v>
      </c>
      <c r="K13" t="s">
        <v>56</v>
      </c>
      <c r="L13" t="s">
        <v>104</v>
      </c>
      <c r="M13" t="s">
        <v>58</v>
      </c>
      <c r="N13">
        <v>3</v>
      </c>
      <c r="O13">
        <v>15000</v>
      </c>
      <c r="P13">
        <v>0</v>
      </c>
      <c r="Q13">
        <v>45000</v>
      </c>
      <c r="R13">
        <v>33000</v>
      </c>
      <c r="S13">
        <v>12000</v>
      </c>
      <c r="T13" t="s">
        <v>67</v>
      </c>
      <c r="U13">
        <v>3</v>
      </c>
      <c r="V13">
        <v>3</v>
      </c>
      <c r="W13" t="s">
        <v>43</v>
      </c>
      <c r="X13">
        <v>135000</v>
      </c>
      <c r="Y13">
        <v>2024</v>
      </c>
      <c r="Z13">
        <v>9</v>
      </c>
      <c r="AA13">
        <v>27</v>
      </c>
      <c r="AB13" t="s">
        <v>115</v>
      </c>
      <c r="AC13" t="s">
        <v>116</v>
      </c>
      <c r="AD13" t="s">
        <v>46</v>
      </c>
      <c r="AE13" t="s">
        <v>47</v>
      </c>
      <c r="AF13" t="s">
        <v>48</v>
      </c>
    </row>
    <row r="14" spans="1:32" x14ac:dyDescent="0.3">
      <c r="A14">
        <v>1013</v>
      </c>
      <c r="B14" s="2">
        <v>45663</v>
      </c>
      <c r="C14" t="s">
        <v>72</v>
      </c>
      <c r="D14" t="s">
        <v>81</v>
      </c>
      <c r="E14" t="s">
        <v>82</v>
      </c>
      <c r="F14" t="s">
        <v>117</v>
      </c>
      <c r="G14" t="s">
        <v>118</v>
      </c>
      <c r="H14" t="s">
        <v>37</v>
      </c>
      <c r="I14">
        <v>52</v>
      </c>
      <c r="J14" t="s">
        <v>65</v>
      </c>
      <c r="K14" t="s">
        <v>56</v>
      </c>
      <c r="L14" t="s">
        <v>75</v>
      </c>
      <c r="M14" t="s">
        <v>95</v>
      </c>
      <c r="N14">
        <v>5</v>
      </c>
      <c r="O14">
        <v>55000</v>
      </c>
      <c r="P14">
        <v>15</v>
      </c>
      <c r="Q14">
        <v>233750</v>
      </c>
      <c r="R14">
        <v>210000</v>
      </c>
      <c r="S14">
        <v>23750</v>
      </c>
      <c r="T14" t="s">
        <v>67</v>
      </c>
      <c r="U14">
        <v>5</v>
      </c>
      <c r="V14">
        <v>6</v>
      </c>
      <c r="W14" t="s">
        <v>76</v>
      </c>
      <c r="X14">
        <v>1168750</v>
      </c>
      <c r="Y14">
        <v>2025</v>
      </c>
      <c r="Z14">
        <v>1</v>
      </c>
      <c r="AA14">
        <v>6</v>
      </c>
      <c r="AB14" t="s">
        <v>110</v>
      </c>
      <c r="AC14" t="s">
        <v>111</v>
      </c>
      <c r="AD14" t="s">
        <v>119</v>
      </c>
      <c r="AE14" t="s">
        <v>120</v>
      </c>
      <c r="AF14" t="s">
        <v>48</v>
      </c>
    </row>
    <row r="15" spans="1:32" x14ac:dyDescent="0.3">
      <c r="A15">
        <v>1014</v>
      </c>
      <c r="B15" s="2">
        <v>45488</v>
      </c>
      <c r="C15" t="s">
        <v>49</v>
      </c>
      <c r="D15" t="s">
        <v>51</v>
      </c>
      <c r="E15" t="s">
        <v>51</v>
      </c>
      <c r="F15" t="s">
        <v>121</v>
      </c>
      <c r="G15" t="s">
        <v>118</v>
      </c>
      <c r="H15" t="s">
        <v>54</v>
      </c>
      <c r="I15">
        <v>39</v>
      </c>
      <c r="J15" t="s">
        <v>55</v>
      </c>
      <c r="K15" t="s">
        <v>56</v>
      </c>
      <c r="L15" t="s">
        <v>75</v>
      </c>
      <c r="M15" t="s">
        <v>48</v>
      </c>
      <c r="N15">
        <v>1</v>
      </c>
      <c r="O15">
        <v>15000</v>
      </c>
      <c r="P15">
        <v>0</v>
      </c>
      <c r="Q15">
        <v>15000</v>
      </c>
      <c r="R15">
        <v>11000</v>
      </c>
      <c r="S15">
        <v>4000</v>
      </c>
      <c r="T15" t="s">
        <v>105</v>
      </c>
      <c r="U15">
        <v>1</v>
      </c>
      <c r="V15">
        <v>2</v>
      </c>
      <c r="W15" t="s">
        <v>43</v>
      </c>
      <c r="X15">
        <v>15000</v>
      </c>
      <c r="Y15">
        <v>2024</v>
      </c>
      <c r="Z15">
        <v>7</v>
      </c>
      <c r="AA15">
        <v>15</v>
      </c>
      <c r="AB15" t="s">
        <v>110</v>
      </c>
      <c r="AC15" t="s">
        <v>111</v>
      </c>
      <c r="AD15" t="s">
        <v>70</v>
      </c>
      <c r="AE15" t="s">
        <v>71</v>
      </c>
      <c r="AF15" t="s">
        <v>106</v>
      </c>
    </row>
    <row r="16" spans="1:32" x14ac:dyDescent="0.3">
      <c r="A16">
        <v>1015</v>
      </c>
      <c r="B16" s="2">
        <v>45959</v>
      </c>
      <c r="C16" t="s">
        <v>72</v>
      </c>
      <c r="D16" t="s">
        <v>33</v>
      </c>
      <c r="E16" t="s">
        <v>34</v>
      </c>
      <c r="F16" t="s">
        <v>122</v>
      </c>
      <c r="G16" t="s">
        <v>123</v>
      </c>
      <c r="H16" t="s">
        <v>54</v>
      </c>
      <c r="I16">
        <v>30</v>
      </c>
      <c r="J16" t="s">
        <v>103</v>
      </c>
      <c r="K16" t="s">
        <v>39</v>
      </c>
      <c r="L16" t="s">
        <v>124</v>
      </c>
      <c r="M16" t="s">
        <v>58</v>
      </c>
      <c r="N16">
        <v>5</v>
      </c>
      <c r="O16">
        <v>1200</v>
      </c>
      <c r="P16">
        <v>5</v>
      </c>
      <c r="Q16">
        <v>5700</v>
      </c>
      <c r="R16">
        <v>3500</v>
      </c>
      <c r="S16">
        <v>2200</v>
      </c>
      <c r="T16" t="s">
        <v>84</v>
      </c>
      <c r="U16">
        <v>4</v>
      </c>
      <c r="V16">
        <v>7</v>
      </c>
      <c r="W16" t="s">
        <v>43</v>
      </c>
      <c r="X16">
        <v>28500</v>
      </c>
      <c r="Y16">
        <v>2025</v>
      </c>
      <c r="Z16">
        <v>10</v>
      </c>
      <c r="AA16">
        <v>29</v>
      </c>
      <c r="AB16" t="s">
        <v>68</v>
      </c>
      <c r="AC16" t="s">
        <v>69</v>
      </c>
      <c r="AD16" t="s">
        <v>125</v>
      </c>
      <c r="AE16" t="s">
        <v>126</v>
      </c>
      <c r="AF16" t="s">
        <v>87</v>
      </c>
    </row>
    <row r="17" spans="1:32" x14ac:dyDescent="0.3">
      <c r="A17">
        <v>1016</v>
      </c>
      <c r="B17" s="2">
        <v>45380</v>
      </c>
      <c r="C17" t="s">
        <v>72</v>
      </c>
      <c r="D17" t="s">
        <v>101</v>
      </c>
      <c r="E17" t="s">
        <v>127</v>
      </c>
      <c r="F17" t="s">
        <v>128</v>
      </c>
      <c r="G17" t="s">
        <v>66</v>
      </c>
      <c r="H17" t="s">
        <v>54</v>
      </c>
      <c r="I17">
        <v>21</v>
      </c>
      <c r="J17" t="s">
        <v>55</v>
      </c>
      <c r="K17" t="s">
        <v>56</v>
      </c>
      <c r="L17" t="s">
        <v>66</v>
      </c>
      <c r="M17" t="s">
        <v>41</v>
      </c>
      <c r="N17">
        <v>2</v>
      </c>
      <c r="O17">
        <v>15000</v>
      </c>
      <c r="P17">
        <v>10</v>
      </c>
      <c r="Q17">
        <v>27000</v>
      </c>
      <c r="R17">
        <v>22000</v>
      </c>
      <c r="S17">
        <v>5000</v>
      </c>
      <c r="T17" t="s">
        <v>105</v>
      </c>
      <c r="U17">
        <v>1</v>
      </c>
      <c r="V17">
        <v>2</v>
      </c>
      <c r="W17" t="s">
        <v>76</v>
      </c>
      <c r="X17">
        <v>54000</v>
      </c>
      <c r="Y17">
        <v>2024</v>
      </c>
      <c r="Z17">
        <v>3</v>
      </c>
      <c r="AA17">
        <v>29</v>
      </c>
      <c r="AB17" t="s">
        <v>115</v>
      </c>
      <c r="AC17" t="s">
        <v>116</v>
      </c>
      <c r="AD17" t="s">
        <v>99</v>
      </c>
      <c r="AE17" t="s">
        <v>100</v>
      </c>
      <c r="AF17" t="s">
        <v>106</v>
      </c>
    </row>
    <row r="18" spans="1:32" x14ac:dyDescent="0.3">
      <c r="A18">
        <v>1017</v>
      </c>
      <c r="B18" s="2">
        <v>45863</v>
      </c>
      <c r="C18" t="s">
        <v>32</v>
      </c>
      <c r="D18" t="s">
        <v>50</v>
      </c>
      <c r="E18" t="s">
        <v>129</v>
      </c>
      <c r="F18" t="s">
        <v>130</v>
      </c>
      <c r="G18" t="s">
        <v>89</v>
      </c>
      <c r="H18" t="s">
        <v>54</v>
      </c>
      <c r="I18">
        <v>48</v>
      </c>
      <c r="J18" t="s">
        <v>55</v>
      </c>
      <c r="K18" t="s">
        <v>56</v>
      </c>
      <c r="L18" t="s">
        <v>66</v>
      </c>
      <c r="M18" t="s">
        <v>48</v>
      </c>
      <c r="N18">
        <v>1</v>
      </c>
      <c r="O18">
        <v>15000</v>
      </c>
      <c r="P18">
        <v>5</v>
      </c>
      <c r="Q18">
        <v>14250</v>
      </c>
      <c r="R18">
        <v>11000</v>
      </c>
      <c r="S18">
        <v>3250</v>
      </c>
      <c r="T18" t="s">
        <v>42</v>
      </c>
      <c r="U18">
        <v>5</v>
      </c>
      <c r="V18">
        <v>8</v>
      </c>
      <c r="W18" t="s">
        <v>76</v>
      </c>
      <c r="X18">
        <v>14250</v>
      </c>
      <c r="Y18">
        <v>2025</v>
      </c>
      <c r="Z18">
        <v>7</v>
      </c>
      <c r="AA18">
        <v>25</v>
      </c>
      <c r="AB18" t="s">
        <v>115</v>
      </c>
      <c r="AC18" t="s">
        <v>116</v>
      </c>
      <c r="AD18" t="s">
        <v>70</v>
      </c>
      <c r="AE18" t="s">
        <v>71</v>
      </c>
      <c r="AF18" t="s">
        <v>48</v>
      </c>
    </row>
    <row r="19" spans="1:32" x14ac:dyDescent="0.3">
      <c r="A19">
        <v>1018</v>
      </c>
      <c r="B19" s="2">
        <v>45836</v>
      </c>
      <c r="C19" t="s">
        <v>107</v>
      </c>
      <c r="D19" t="s">
        <v>50</v>
      </c>
      <c r="E19" t="s">
        <v>129</v>
      </c>
      <c r="F19" t="s">
        <v>131</v>
      </c>
      <c r="G19" t="s">
        <v>53</v>
      </c>
      <c r="H19" t="s">
        <v>37</v>
      </c>
      <c r="I19">
        <v>46</v>
      </c>
      <c r="J19" t="s">
        <v>90</v>
      </c>
      <c r="K19" t="s">
        <v>56</v>
      </c>
      <c r="L19" t="s">
        <v>124</v>
      </c>
      <c r="M19" t="s">
        <v>58</v>
      </c>
      <c r="N19">
        <v>1</v>
      </c>
      <c r="O19">
        <v>25000</v>
      </c>
      <c r="P19">
        <v>0</v>
      </c>
      <c r="Q19">
        <v>25000</v>
      </c>
      <c r="R19">
        <v>18000</v>
      </c>
      <c r="S19">
        <v>7000</v>
      </c>
      <c r="T19" t="s">
        <v>84</v>
      </c>
      <c r="U19">
        <v>2</v>
      </c>
      <c r="V19">
        <v>8</v>
      </c>
      <c r="W19" t="s">
        <v>43</v>
      </c>
      <c r="X19">
        <v>25000</v>
      </c>
      <c r="Y19">
        <v>2025</v>
      </c>
      <c r="Z19">
        <v>6</v>
      </c>
      <c r="AA19">
        <v>28</v>
      </c>
      <c r="AB19" t="s">
        <v>77</v>
      </c>
      <c r="AC19" t="s">
        <v>78</v>
      </c>
      <c r="AD19" t="s">
        <v>85</v>
      </c>
      <c r="AE19" t="s">
        <v>86</v>
      </c>
      <c r="AF19" t="s">
        <v>87</v>
      </c>
    </row>
    <row r="20" spans="1:32" x14ac:dyDescent="0.3">
      <c r="A20">
        <v>1019</v>
      </c>
      <c r="B20" s="2">
        <v>45693</v>
      </c>
      <c r="C20" t="s">
        <v>107</v>
      </c>
      <c r="D20" t="s">
        <v>51</v>
      </c>
      <c r="E20" t="s">
        <v>129</v>
      </c>
      <c r="F20" t="s">
        <v>132</v>
      </c>
      <c r="G20" t="s">
        <v>74</v>
      </c>
      <c r="H20" t="s">
        <v>37</v>
      </c>
      <c r="I20">
        <v>33</v>
      </c>
      <c r="J20" t="s">
        <v>103</v>
      </c>
      <c r="K20" t="s">
        <v>39</v>
      </c>
      <c r="L20" t="s">
        <v>64</v>
      </c>
      <c r="M20" t="s">
        <v>48</v>
      </c>
      <c r="N20">
        <v>3</v>
      </c>
      <c r="O20">
        <v>1200</v>
      </c>
      <c r="P20">
        <v>15</v>
      </c>
      <c r="Q20">
        <v>3060</v>
      </c>
      <c r="R20">
        <v>2100</v>
      </c>
      <c r="S20">
        <v>960</v>
      </c>
      <c r="T20" t="s">
        <v>105</v>
      </c>
      <c r="U20">
        <v>2</v>
      </c>
      <c r="V20">
        <v>5</v>
      </c>
      <c r="W20" t="s">
        <v>76</v>
      </c>
      <c r="X20">
        <v>9180</v>
      </c>
      <c r="Y20">
        <v>2025</v>
      </c>
      <c r="Z20">
        <v>2</v>
      </c>
      <c r="AA20">
        <v>5</v>
      </c>
      <c r="AB20" t="s">
        <v>68</v>
      </c>
      <c r="AC20" t="s">
        <v>69</v>
      </c>
      <c r="AD20" t="s">
        <v>79</v>
      </c>
      <c r="AE20" t="s">
        <v>80</v>
      </c>
      <c r="AF20" t="s">
        <v>106</v>
      </c>
    </row>
    <row r="21" spans="1:32" x14ac:dyDescent="0.3">
      <c r="A21">
        <v>1020</v>
      </c>
      <c r="B21" s="2">
        <v>45974</v>
      </c>
      <c r="C21" t="s">
        <v>72</v>
      </c>
      <c r="D21" t="s">
        <v>50</v>
      </c>
      <c r="E21" t="s">
        <v>51</v>
      </c>
      <c r="F21" t="s">
        <v>133</v>
      </c>
      <c r="G21" t="s">
        <v>89</v>
      </c>
      <c r="H21" t="s">
        <v>54</v>
      </c>
      <c r="I21">
        <v>53</v>
      </c>
      <c r="J21" t="s">
        <v>134</v>
      </c>
      <c r="K21" t="s">
        <v>56</v>
      </c>
      <c r="L21" t="s">
        <v>57</v>
      </c>
      <c r="M21" t="s">
        <v>41</v>
      </c>
      <c r="N21">
        <v>5</v>
      </c>
      <c r="O21">
        <v>30000</v>
      </c>
      <c r="P21">
        <v>5</v>
      </c>
      <c r="Q21">
        <v>142500</v>
      </c>
      <c r="R21">
        <v>110000</v>
      </c>
      <c r="S21">
        <v>32500</v>
      </c>
      <c r="T21" t="s">
        <v>42</v>
      </c>
      <c r="U21">
        <v>1</v>
      </c>
      <c r="V21">
        <v>3</v>
      </c>
      <c r="W21" t="s">
        <v>43</v>
      </c>
      <c r="X21">
        <v>712500</v>
      </c>
      <c r="Y21">
        <v>2025</v>
      </c>
      <c r="Z21">
        <v>11</v>
      </c>
      <c r="AA21">
        <v>13</v>
      </c>
      <c r="AB21" t="s">
        <v>135</v>
      </c>
      <c r="AC21" t="s">
        <v>136</v>
      </c>
      <c r="AD21" t="s">
        <v>137</v>
      </c>
      <c r="AE21" t="s">
        <v>138</v>
      </c>
      <c r="AF21" t="s">
        <v>48</v>
      </c>
    </row>
    <row r="22" spans="1:32" x14ac:dyDescent="0.3">
      <c r="A22">
        <v>1021</v>
      </c>
      <c r="B22" s="2">
        <v>45894</v>
      </c>
      <c r="C22" t="s">
        <v>107</v>
      </c>
      <c r="D22" t="s">
        <v>50</v>
      </c>
      <c r="E22" t="s">
        <v>51</v>
      </c>
      <c r="F22" t="s">
        <v>139</v>
      </c>
      <c r="G22" t="s">
        <v>36</v>
      </c>
      <c r="H22" t="s">
        <v>37</v>
      </c>
      <c r="I22">
        <v>57</v>
      </c>
      <c r="J22" t="s">
        <v>134</v>
      </c>
      <c r="K22" t="s">
        <v>56</v>
      </c>
      <c r="L22" t="s">
        <v>140</v>
      </c>
      <c r="M22" t="s">
        <v>41</v>
      </c>
      <c r="N22">
        <v>3</v>
      </c>
      <c r="O22">
        <v>30000</v>
      </c>
      <c r="P22">
        <v>0</v>
      </c>
      <c r="Q22">
        <v>90000</v>
      </c>
      <c r="R22">
        <v>66000</v>
      </c>
      <c r="S22">
        <v>24000</v>
      </c>
      <c r="T22" t="s">
        <v>42</v>
      </c>
      <c r="U22">
        <v>1</v>
      </c>
      <c r="V22">
        <v>8</v>
      </c>
      <c r="W22" t="s">
        <v>76</v>
      </c>
      <c r="X22">
        <v>270000</v>
      </c>
      <c r="Y22">
        <v>2025</v>
      </c>
      <c r="Z22">
        <v>8</v>
      </c>
      <c r="AA22">
        <v>25</v>
      </c>
      <c r="AB22" t="s">
        <v>110</v>
      </c>
      <c r="AC22" t="s">
        <v>111</v>
      </c>
      <c r="AD22" t="s">
        <v>61</v>
      </c>
      <c r="AE22" t="s">
        <v>62</v>
      </c>
      <c r="AF22" t="s">
        <v>48</v>
      </c>
    </row>
    <row r="23" spans="1:32" x14ac:dyDescent="0.3">
      <c r="A23">
        <v>1022</v>
      </c>
      <c r="B23" s="2">
        <v>45670</v>
      </c>
      <c r="C23" t="s">
        <v>72</v>
      </c>
      <c r="D23" t="s">
        <v>50</v>
      </c>
      <c r="E23" t="s">
        <v>51</v>
      </c>
      <c r="F23" t="s">
        <v>141</v>
      </c>
      <c r="G23" t="s">
        <v>64</v>
      </c>
      <c r="H23" t="s">
        <v>37</v>
      </c>
      <c r="I23">
        <v>51</v>
      </c>
      <c r="J23" t="s">
        <v>38</v>
      </c>
      <c r="K23" t="s">
        <v>39</v>
      </c>
      <c r="L23" t="s">
        <v>40</v>
      </c>
      <c r="M23" t="s">
        <v>58</v>
      </c>
      <c r="N23">
        <v>3</v>
      </c>
      <c r="O23">
        <v>2000</v>
      </c>
      <c r="P23">
        <v>10</v>
      </c>
      <c r="Q23">
        <v>5400</v>
      </c>
      <c r="R23">
        <v>3600</v>
      </c>
      <c r="S23">
        <v>1800</v>
      </c>
      <c r="T23" t="s">
        <v>42</v>
      </c>
      <c r="U23">
        <v>4</v>
      </c>
      <c r="V23">
        <v>4</v>
      </c>
      <c r="W23" t="s">
        <v>76</v>
      </c>
      <c r="X23">
        <v>16200</v>
      </c>
      <c r="Y23">
        <v>2025</v>
      </c>
      <c r="Z23">
        <v>1</v>
      </c>
      <c r="AA23">
        <v>13</v>
      </c>
      <c r="AB23" t="s">
        <v>110</v>
      </c>
      <c r="AC23" t="s">
        <v>111</v>
      </c>
      <c r="AD23" t="s">
        <v>119</v>
      </c>
      <c r="AE23" t="s">
        <v>120</v>
      </c>
      <c r="AF23" t="s">
        <v>48</v>
      </c>
    </row>
    <row r="24" spans="1:32" x14ac:dyDescent="0.3">
      <c r="A24">
        <v>1023</v>
      </c>
      <c r="B24" s="2">
        <v>45587</v>
      </c>
      <c r="C24" t="s">
        <v>32</v>
      </c>
      <c r="D24" t="s">
        <v>50</v>
      </c>
      <c r="E24" t="s">
        <v>129</v>
      </c>
      <c r="F24" t="s">
        <v>142</v>
      </c>
      <c r="G24" t="s">
        <v>64</v>
      </c>
      <c r="H24" t="s">
        <v>37</v>
      </c>
      <c r="I24">
        <v>42</v>
      </c>
      <c r="J24" t="s">
        <v>90</v>
      </c>
      <c r="K24" t="s">
        <v>56</v>
      </c>
      <c r="L24" t="s">
        <v>75</v>
      </c>
      <c r="M24" t="s">
        <v>48</v>
      </c>
      <c r="N24">
        <v>4</v>
      </c>
      <c r="O24">
        <v>25000</v>
      </c>
      <c r="P24">
        <v>5</v>
      </c>
      <c r="Q24">
        <v>95000</v>
      </c>
      <c r="R24">
        <v>72000</v>
      </c>
      <c r="S24">
        <v>23000</v>
      </c>
      <c r="T24" t="s">
        <v>84</v>
      </c>
      <c r="U24">
        <v>4</v>
      </c>
      <c r="V24">
        <v>2</v>
      </c>
      <c r="W24" t="s">
        <v>76</v>
      </c>
      <c r="X24">
        <v>380000</v>
      </c>
      <c r="Y24">
        <v>2024</v>
      </c>
      <c r="Z24">
        <v>10</v>
      </c>
      <c r="AA24">
        <v>22</v>
      </c>
      <c r="AB24" t="s">
        <v>59</v>
      </c>
      <c r="AC24" t="s">
        <v>60</v>
      </c>
      <c r="AD24" t="s">
        <v>125</v>
      </c>
      <c r="AE24" t="s">
        <v>126</v>
      </c>
      <c r="AF24" t="s">
        <v>87</v>
      </c>
    </row>
    <row r="25" spans="1:32" x14ac:dyDescent="0.3">
      <c r="A25">
        <v>1024</v>
      </c>
      <c r="B25" s="2">
        <v>45495</v>
      </c>
      <c r="C25" t="s">
        <v>72</v>
      </c>
      <c r="D25" t="s">
        <v>51</v>
      </c>
      <c r="E25" t="s">
        <v>51</v>
      </c>
      <c r="F25" t="s">
        <v>143</v>
      </c>
      <c r="G25" t="s">
        <v>74</v>
      </c>
      <c r="H25" t="s">
        <v>54</v>
      </c>
      <c r="I25">
        <v>39</v>
      </c>
      <c r="J25" t="s">
        <v>109</v>
      </c>
      <c r="K25" t="s">
        <v>39</v>
      </c>
      <c r="L25" t="s">
        <v>57</v>
      </c>
      <c r="M25" t="s">
        <v>41</v>
      </c>
      <c r="N25">
        <v>5</v>
      </c>
      <c r="O25">
        <v>800</v>
      </c>
      <c r="P25">
        <v>5</v>
      </c>
      <c r="Q25">
        <v>3800</v>
      </c>
      <c r="R25">
        <v>2000</v>
      </c>
      <c r="S25">
        <v>1800</v>
      </c>
      <c r="T25" t="s">
        <v>42</v>
      </c>
      <c r="U25">
        <v>3</v>
      </c>
      <c r="V25">
        <v>3</v>
      </c>
      <c r="W25" t="s">
        <v>76</v>
      </c>
      <c r="X25">
        <v>19000</v>
      </c>
      <c r="Y25">
        <v>2024</v>
      </c>
      <c r="Z25">
        <v>7</v>
      </c>
      <c r="AA25">
        <v>22</v>
      </c>
      <c r="AB25" t="s">
        <v>110</v>
      </c>
      <c r="AC25" t="s">
        <v>111</v>
      </c>
      <c r="AD25" t="s">
        <v>70</v>
      </c>
      <c r="AE25" t="s">
        <v>71</v>
      </c>
      <c r="AF25" t="s">
        <v>48</v>
      </c>
    </row>
    <row r="26" spans="1:32" x14ac:dyDescent="0.3">
      <c r="A26">
        <v>1025</v>
      </c>
      <c r="B26" s="2">
        <v>45683</v>
      </c>
      <c r="C26" t="s">
        <v>72</v>
      </c>
      <c r="D26" t="s">
        <v>50</v>
      </c>
      <c r="E26" t="s">
        <v>129</v>
      </c>
      <c r="F26" t="s">
        <v>144</v>
      </c>
      <c r="G26" t="s">
        <v>53</v>
      </c>
      <c r="H26" t="s">
        <v>54</v>
      </c>
      <c r="I26">
        <v>42</v>
      </c>
      <c r="J26" t="s">
        <v>103</v>
      </c>
      <c r="K26" t="s">
        <v>39</v>
      </c>
      <c r="L26" t="s">
        <v>64</v>
      </c>
      <c r="M26" t="s">
        <v>95</v>
      </c>
      <c r="N26">
        <v>5</v>
      </c>
      <c r="O26">
        <v>1200</v>
      </c>
      <c r="P26">
        <v>10</v>
      </c>
      <c r="Q26">
        <v>5400</v>
      </c>
      <c r="R26">
        <v>3500</v>
      </c>
      <c r="S26">
        <v>1900</v>
      </c>
      <c r="T26" t="s">
        <v>42</v>
      </c>
      <c r="U26">
        <v>1</v>
      </c>
      <c r="V26">
        <v>5</v>
      </c>
      <c r="W26" t="s">
        <v>43</v>
      </c>
      <c r="X26">
        <v>27000</v>
      </c>
      <c r="Y26">
        <v>2025</v>
      </c>
      <c r="Z26">
        <v>1</v>
      </c>
      <c r="AA26">
        <v>26</v>
      </c>
      <c r="AB26" t="s">
        <v>44</v>
      </c>
      <c r="AC26" t="s">
        <v>45</v>
      </c>
      <c r="AD26" t="s">
        <v>119</v>
      </c>
      <c r="AE26" t="s">
        <v>120</v>
      </c>
      <c r="AF26" t="s">
        <v>48</v>
      </c>
    </row>
    <row r="27" spans="1:32" x14ac:dyDescent="0.3">
      <c r="A27">
        <v>1026</v>
      </c>
      <c r="B27" s="2">
        <v>45628</v>
      </c>
      <c r="C27" t="s">
        <v>32</v>
      </c>
      <c r="D27" t="s">
        <v>81</v>
      </c>
      <c r="E27" t="s">
        <v>145</v>
      </c>
      <c r="F27" t="s">
        <v>146</v>
      </c>
      <c r="G27" t="s">
        <v>36</v>
      </c>
      <c r="H27" t="s">
        <v>54</v>
      </c>
      <c r="I27">
        <v>40</v>
      </c>
      <c r="J27" t="s">
        <v>90</v>
      </c>
      <c r="K27" t="s">
        <v>56</v>
      </c>
      <c r="L27" t="s">
        <v>64</v>
      </c>
      <c r="M27" t="s">
        <v>48</v>
      </c>
      <c r="N27">
        <v>4</v>
      </c>
      <c r="O27">
        <v>25000</v>
      </c>
      <c r="P27">
        <v>15</v>
      </c>
      <c r="Q27">
        <v>85000</v>
      </c>
      <c r="R27">
        <v>72000</v>
      </c>
      <c r="S27">
        <v>13000</v>
      </c>
      <c r="T27" t="s">
        <v>84</v>
      </c>
      <c r="U27">
        <v>5</v>
      </c>
      <c r="V27">
        <v>1</v>
      </c>
      <c r="W27" t="s">
        <v>76</v>
      </c>
      <c r="X27">
        <v>340000</v>
      </c>
      <c r="Y27">
        <v>2024</v>
      </c>
      <c r="Z27">
        <v>12</v>
      </c>
      <c r="AA27">
        <v>2</v>
      </c>
      <c r="AB27" t="s">
        <v>110</v>
      </c>
      <c r="AC27" t="s">
        <v>111</v>
      </c>
      <c r="AD27" t="s">
        <v>112</v>
      </c>
      <c r="AE27" t="s">
        <v>113</v>
      </c>
      <c r="AF27" t="s">
        <v>87</v>
      </c>
    </row>
    <row r="28" spans="1:32" x14ac:dyDescent="0.3">
      <c r="A28">
        <v>1027</v>
      </c>
      <c r="B28" s="2">
        <v>45664</v>
      </c>
      <c r="C28" t="s">
        <v>107</v>
      </c>
      <c r="D28" t="s">
        <v>50</v>
      </c>
      <c r="E28" t="s">
        <v>51</v>
      </c>
      <c r="F28" t="s">
        <v>147</v>
      </c>
      <c r="G28" t="s">
        <v>92</v>
      </c>
      <c r="H28" t="s">
        <v>37</v>
      </c>
      <c r="I28">
        <v>36</v>
      </c>
      <c r="J28" t="s">
        <v>90</v>
      </c>
      <c r="K28" t="s">
        <v>56</v>
      </c>
      <c r="L28" t="s">
        <v>124</v>
      </c>
      <c r="M28" t="s">
        <v>58</v>
      </c>
      <c r="N28">
        <v>5</v>
      </c>
      <c r="O28">
        <v>25000</v>
      </c>
      <c r="P28">
        <v>15</v>
      </c>
      <c r="Q28">
        <v>106250</v>
      </c>
      <c r="R28">
        <v>90000</v>
      </c>
      <c r="S28">
        <v>16250</v>
      </c>
      <c r="T28" t="s">
        <v>42</v>
      </c>
      <c r="U28">
        <v>2</v>
      </c>
      <c r="V28">
        <v>2</v>
      </c>
      <c r="W28" t="s">
        <v>76</v>
      </c>
      <c r="X28">
        <v>531250</v>
      </c>
      <c r="Y28">
        <v>2025</v>
      </c>
      <c r="Z28">
        <v>1</v>
      </c>
      <c r="AA28">
        <v>7</v>
      </c>
      <c r="AB28" t="s">
        <v>59</v>
      </c>
      <c r="AC28" t="s">
        <v>60</v>
      </c>
      <c r="AD28" t="s">
        <v>119</v>
      </c>
      <c r="AE28" t="s">
        <v>120</v>
      </c>
      <c r="AF28" t="s">
        <v>48</v>
      </c>
    </row>
    <row r="29" spans="1:32" x14ac:dyDescent="0.3">
      <c r="A29">
        <v>1028</v>
      </c>
      <c r="B29" s="2">
        <v>45687</v>
      </c>
      <c r="C29" t="s">
        <v>72</v>
      </c>
      <c r="D29" t="s">
        <v>101</v>
      </c>
      <c r="E29" t="s">
        <v>127</v>
      </c>
      <c r="F29" t="s">
        <v>148</v>
      </c>
      <c r="G29" t="s">
        <v>89</v>
      </c>
      <c r="H29" t="s">
        <v>37</v>
      </c>
      <c r="I29">
        <v>41</v>
      </c>
      <c r="J29" t="s">
        <v>109</v>
      </c>
      <c r="K29" t="s">
        <v>39</v>
      </c>
      <c r="L29" t="s">
        <v>140</v>
      </c>
      <c r="M29" t="s">
        <v>95</v>
      </c>
      <c r="N29">
        <v>1</v>
      </c>
      <c r="O29">
        <v>800</v>
      </c>
      <c r="P29">
        <v>0</v>
      </c>
      <c r="Q29">
        <v>800</v>
      </c>
      <c r="R29">
        <v>400</v>
      </c>
      <c r="S29">
        <v>400</v>
      </c>
      <c r="T29" t="s">
        <v>84</v>
      </c>
      <c r="U29">
        <v>4</v>
      </c>
      <c r="V29">
        <v>8</v>
      </c>
      <c r="W29" t="s">
        <v>43</v>
      </c>
      <c r="X29">
        <v>800</v>
      </c>
      <c r="Y29">
        <v>2025</v>
      </c>
      <c r="Z29">
        <v>1</v>
      </c>
      <c r="AA29">
        <v>30</v>
      </c>
      <c r="AB29" t="s">
        <v>135</v>
      </c>
      <c r="AC29" t="s">
        <v>136</v>
      </c>
      <c r="AD29" t="s">
        <v>119</v>
      </c>
      <c r="AE29" t="s">
        <v>120</v>
      </c>
      <c r="AF29" t="s">
        <v>87</v>
      </c>
    </row>
    <row r="30" spans="1:32" x14ac:dyDescent="0.3">
      <c r="A30">
        <v>1029</v>
      </c>
      <c r="B30" s="2">
        <v>45789</v>
      </c>
      <c r="C30" t="s">
        <v>49</v>
      </c>
      <c r="D30" t="s">
        <v>33</v>
      </c>
      <c r="E30" t="s">
        <v>34</v>
      </c>
      <c r="F30" t="s">
        <v>149</v>
      </c>
      <c r="G30" t="s">
        <v>94</v>
      </c>
      <c r="H30" t="s">
        <v>37</v>
      </c>
      <c r="I30">
        <v>33</v>
      </c>
      <c r="J30" t="s">
        <v>55</v>
      </c>
      <c r="K30" t="s">
        <v>56</v>
      </c>
      <c r="L30" t="s">
        <v>66</v>
      </c>
      <c r="M30" t="s">
        <v>48</v>
      </c>
      <c r="N30">
        <v>2</v>
      </c>
      <c r="O30">
        <v>15000</v>
      </c>
      <c r="P30">
        <v>15</v>
      </c>
      <c r="Q30">
        <v>51000</v>
      </c>
      <c r="R30">
        <v>44000</v>
      </c>
      <c r="S30">
        <v>7000</v>
      </c>
      <c r="T30" t="s">
        <v>67</v>
      </c>
      <c r="U30">
        <v>2</v>
      </c>
      <c r="V30">
        <v>7</v>
      </c>
      <c r="W30" t="s">
        <v>43</v>
      </c>
      <c r="X30">
        <v>102000</v>
      </c>
      <c r="Y30">
        <v>2025</v>
      </c>
      <c r="Z30">
        <v>5</v>
      </c>
      <c r="AA30">
        <v>12</v>
      </c>
      <c r="AB30" t="s">
        <v>110</v>
      </c>
      <c r="AC30" t="s">
        <v>111</v>
      </c>
      <c r="AD30" t="s">
        <v>96</v>
      </c>
      <c r="AE30" t="s">
        <v>96</v>
      </c>
      <c r="AF30" t="s">
        <v>48</v>
      </c>
    </row>
    <row r="31" spans="1:32" x14ac:dyDescent="0.3">
      <c r="A31">
        <v>1030</v>
      </c>
      <c r="B31" s="2">
        <v>45383</v>
      </c>
      <c r="C31" t="s">
        <v>32</v>
      </c>
      <c r="D31" t="s">
        <v>50</v>
      </c>
      <c r="E31" t="s">
        <v>51</v>
      </c>
      <c r="F31" t="s">
        <v>150</v>
      </c>
      <c r="G31" t="s">
        <v>118</v>
      </c>
      <c r="H31" t="s">
        <v>54</v>
      </c>
      <c r="I31">
        <v>47</v>
      </c>
      <c r="J31" t="s">
        <v>98</v>
      </c>
      <c r="K31" t="s">
        <v>56</v>
      </c>
      <c r="L31" t="s">
        <v>40</v>
      </c>
      <c r="M31" t="s">
        <v>95</v>
      </c>
      <c r="N31">
        <v>4</v>
      </c>
      <c r="O31">
        <v>10000</v>
      </c>
      <c r="P31">
        <v>10</v>
      </c>
      <c r="Q31">
        <v>36000</v>
      </c>
      <c r="R31">
        <v>30000</v>
      </c>
      <c r="S31">
        <v>6000</v>
      </c>
      <c r="T31" t="s">
        <v>42</v>
      </c>
      <c r="U31">
        <v>3</v>
      </c>
      <c r="V31">
        <v>8</v>
      </c>
      <c r="W31" t="s">
        <v>43</v>
      </c>
      <c r="X31">
        <v>144000</v>
      </c>
      <c r="Y31">
        <v>2024</v>
      </c>
      <c r="Z31">
        <v>4</v>
      </c>
      <c r="AA31">
        <v>1</v>
      </c>
      <c r="AB31" t="s">
        <v>110</v>
      </c>
      <c r="AC31" t="s">
        <v>111</v>
      </c>
      <c r="AD31" t="s">
        <v>151</v>
      </c>
      <c r="AE31" t="s">
        <v>152</v>
      </c>
      <c r="AF31" t="s">
        <v>48</v>
      </c>
    </row>
    <row r="32" spans="1:32" x14ac:dyDescent="0.3">
      <c r="A32">
        <v>1031</v>
      </c>
      <c r="B32" s="2">
        <v>45489</v>
      </c>
      <c r="C32" t="s">
        <v>49</v>
      </c>
      <c r="D32" t="s">
        <v>33</v>
      </c>
      <c r="E32" t="s">
        <v>34</v>
      </c>
      <c r="F32" t="s">
        <v>153</v>
      </c>
      <c r="G32" t="s">
        <v>154</v>
      </c>
      <c r="H32" t="s">
        <v>37</v>
      </c>
      <c r="I32">
        <v>32</v>
      </c>
      <c r="J32" t="s">
        <v>65</v>
      </c>
      <c r="K32" t="s">
        <v>56</v>
      </c>
      <c r="L32" t="s">
        <v>57</v>
      </c>
      <c r="M32" t="s">
        <v>48</v>
      </c>
      <c r="N32">
        <v>5</v>
      </c>
      <c r="O32">
        <v>55000</v>
      </c>
      <c r="P32">
        <v>5</v>
      </c>
      <c r="Q32">
        <v>261250</v>
      </c>
      <c r="R32">
        <v>210000</v>
      </c>
      <c r="S32">
        <v>51250</v>
      </c>
      <c r="T32" t="s">
        <v>84</v>
      </c>
      <c r="U32">
        <v>1</v>
      </c>
      <c r="V32">
        <v>5</v>
      </c>
      <c r="W32" t="s">
        <v>43</v>
      </c>
      <c r="X32">
        <v>1306250</v>
      </c>
      <c r="Y32">
        <v>2024</v>
      </c>
      <c r="Z32">
        <v>7</v>
      </c>
      <c r="AA32">
        <v>16</v>
      </c>
      <c r="AB32" t="s">
        <v>59</v>
      </c>
      <c r="AC32" t="s">
        <v>60</v>
      </c>
      <c r="AD32" t="s">
        <v>70</v>
      </c>
      <c r="AE32" t="s">
        <v>71</v>
      </c>
      <c r="AF32" t="s">
        <v>87</v>
      </c>
    </row>
    <row r="33" spans="1:32" x14ac:dyDescent="0.3">
      <c r="A33">
        <v>1032</v>
      </c>
      <c r="B33" s="2">
        <v>45982</v>
      </c>
      <c r="C33" t="s">
        <v>49</v>
      </c>
      <c r="D33" t="s">
        <v>81</v>
      </c>
      <c r="E33" t="s">
        <v>82</v>
      </c>
      <c r="F33" t="s">
        <v>155</v>
      </c>
      <c r="G33" t="s">
        <v>66</v>
      </c>
      <c r="H33" t="s">
        <v>37</v>
      </c>
      <c r="I33">
        <v>34</v>
      </c>
      <c r="J33" t="s">
        <v>134</v>
      </c>
      <c r="K33" t="s">
        <v>56</v>
      </c>
      <c r="L33" t="s">
        <v>124</v>
      </c>
      <c r="M33" t="s">
        <v>41</v>
      </c>
      <c r="N33">
        <v>3</v>
      </c>
      <c r="O33">
        <v>30000</v>
      </c>
      <c r="P33">
        <v>10</v>
      </c>
      <c r="Q33">
        <v>81000</v>
      </c>
      <c r="R33">
        <v>66000</v>
      </c>
      <c r="S33">
        <v>15000</v>
      </c>
      <c r="T33" t="s">
        <v>42</v>
      </c>
      <c r="U33">
        <v>1</v>
      </c>
      <c r="V33">
        <v>3</v>
      </c>
      <c r="W33" t="s">
        <v>76</v>
      </c>
      <c r="X33">
        <v>243000</v>
      </c>
      <c r="Y33">
        <v>2025</v>
      </c>
      <c r="Z33">
        <v>11</v>
      </c>
      <c r="AA33">
        <v>21</v>
      </c>
      <c r="AB33" t="s">
        <v>115</v>
      </c>
      <c r="AC33" t="s">
        <v>116</v>
      </c>
      <c r="AD33" t="s">
        <v>137</v>
      </c>
      <c r="AE33" t="s">
        <v>138</v>
      </c>
      <c r="AF33" t="s">
        <v>48</v>
      </c>
    </row>
    <row r="34" spans="1:32" x14ac:dyDescent="0.3">
      <c r="A34">
        <v>1033</v>
      </c>
      <c r="B34" s="2">
        <v>45832</v>
      </c>
      <c r="C34" t="s">
        <v>49</v>
      </c>
      <c r="D34" t="s">
        <v>81</v>
      </c>
      <c r="E34" t="s">
        <v>145</v>
      </c>
      <c r="F34" t="s">
        <v>156</v>
      </c>
      <c r="G34" t="s">
        <v>118</v>
      </c>
      <c r="H34" t="s">
        <v>37</v>
      </c>
      <c r="I34">
        <v>39</v>
      </c>
      <c r="J34" t="s">
        <v>65</v>
      </c>
      <c r="K34" t="s">
        <v>56</v>
      </c>
      <c r="L34" t="s">
        <v>40</v>
      </c>
      <c r="M34" t="s">
        <v>48</v>
      </c>
      <c r="N34">
        <v>4</v>
      </c>
      <c r="O34">
        <v>55000</v>
      </c>
      <c r="P34">
        <v>10</v>
      </c>
      <c r="Q34">
        <v>198000</v>
      </c>
      <c r="R34">
        <v>168000</v>
      </c>
      <c r="S34">
        <v>30000</v>
      </c>
      <c r="T34" t="s">
        <v>67</v>
      </c>
      <c r="U34">
        <v>5</v>
      </c>
      <c r="V34">
        <v>7</v>
      </c>
      <c r="W34" t="s">
        <v>76</v>
      </c>
      <c r="X34">
        <v>792000</v>
      </c>
      <c r="Y34">
        <v>2025</v>
      </c>
      <c r="Z34">
        <v>6</v>
      </c>
      <c r="AA34">
        <v>24</v>
      </c>
      <c r="AB34" t="s">
        <v>59</v>
      </c>
      <c r="AC34" t="s">
        <v>60</v>
      </c>
      <c r="AD34" t="s">
        <v>85</v>
      </c>
      <c r="AE34" t="s">
        <v>86</v>
      </c>
      <c r="AF34" t="s">
        <v>48</v>
      </c>
    </row>
    <row r="35" spans="1:32" x14ac:dyDescent="0.3">
      <c r="A35">
        <v>1034</v>
      </c>
      <c r="B35" s="2">
        <v>46008</v>
      </c>
      <c r="C35" t="s">
        <v>49</v>
      </c>
      <c r="D35" t="s">
        <v>51</v>
      </c>
      <c r="E35" t="s">
        <v>51</v>
      </c>
      <c r="F35" t="s">
        <v>157</v>
      </c>
      <c r="G35" t="s">
        <v>123</v>
      </c>
      <c r="H35" t="s">
        <v>37</v>
      </c>
      <c r="I35">
        <v>20</v>
      </c>
      <c r="J35" t="s">
        <v>90</v>
      </c>
      <c r="K35" t="s">
        <v>56</v>
      </c>
      <c r="L35" t="s">
        <v>104</v>
      </c>
      <c r="M35" t="s">
        <v>48</v>
      </c>
      <c r="N35">
        <v>5</v>
      </c>
      <c r="O35">
        <v>25000</v>
      </c>
      <c r="P35">
        <v>8</v>
      </c>
      <c r="Q35">
        <v>118750</v>
      </c>
      <c r="R35">
        <v>90000</v>
      </c>
      <c r="S35">
        <v>28750</v>
      </c>
      <c r="T35" t="s">
        <v>42</v>
      </c>
      <c r="U35">
        <v>3</v>
      </c>
      <c r="V35">
        <v>5</v>
      </c>
      <c r="W35" t="s">
        <v>43</v>
      </c>
      <c r="X35">
        <v>593750</v>
      </c>
      <c r="Y35">
        <v>2025</v>
      </c>
      <c r="Z35">
        <v>12</v>
      </c>
      <c r="AA35">
        <v>17</v>
      </c>
      <c r="AB35" t="s">
        <v>68</v>
      </c>
      <c r="AC35" t="s">
        <v>69</v>
      </c>
      <c r="AD35" t="s">
        <v>112</v>
      </c>
      <c r="AE35" t="s">
        <v>113</v>
      </c>
      <c r="AF35" t="s">
        <v>48</v>
      </c>
    </row>
    <row r="36" spans="1:32" x14ac:dyDescent="0.3">
      <c r="A36">
        <v>1035</v>
      </c>
      <c r="B36" s="2">
        <v>45691</v>
      </c>
      <c r="C36" t="s">
        <v>32</v>
      </c>
      <c r="D36" t="s">
        <v>81</v>
      </c>
      <c r="E36" t="s">
        <v>82</v>
      </c>
      <c r="F36" t="s">
        <v>158</v>
      </c>
      <c r="G36" t="s">
        <v>66</v>
      </c>
      <c r="H36" t="s">
        <v>37</v>
      </c>
      <c r="I36">
        <v>51</v>
      </c>
      <c r="J36" t="s">
        <v>109</v>
      </c>
      <c r="K36" t="s">
        <v>39</v>
      </c>
      <c r="L36" t="s">
        <v>40</v>
      </c>
      <c r="M36" t="s">
        <v>41</v>
      </c>
      <c r="N36">
        <v>3</v>
      </c>
      <c r="O36">
        <v>800</v>
      </c>
      <c r="P36">
        <v>10</v>
      </c>
      <c r="Q36">
        <v>2160</v>
      </c>
      <c r="R36">
        <v>1200</v>
      </c>
      <c r="S36">
        <v>960</v>
      </c>
      <c r="T36" t="s">
        <v>84</v>
      </c>
      <c r="U36">
        <v>2</v>
      </c>
      <c r="V36">
        <v>6</v>
      </c>
      <c r="W36" t="s">
        <v>76</v>
      </c>
      <c r="X36">
        <v>6480</v>
      </c>
      <c r="Y36">
        <v>2025</v>
      </c>
      <c r="Z36">
        <v>2</v>
      </c>
      <c r="AA36">
        <v>3</v>
      </c>
      <c r="AB36" t="s">
        <v>110</v>
      </c>
      <c r="AC36" t="s">
        <v>111</v>
      </c>
      <c r="AD36" t="s">
        <v>79</v>
      </c>
      <c r="AE36" t="s">
        <v>80</v>
      </c>
      <c r="AF36" t="s">
        <v>87</v>
      </c>
    </row>
    <row r="37" spans="1:32" x14ac:dyDescent="0.3">
      <c r="A37">
        <v>1036</v>
      </c>
      <c r="B37" s="2">
        <v>45816</v>
      </c>
      <c r="C37" t="s">
        <v>107</v>
      </c>
      <c r="D37" t="s">
        <v>51</v>
      </c>
      <c r="E37" t="s">
        <v>51</v>
      </c>
      <c r="F37" t="s">
        <v>159</v>
      </c>
      <c r="G37" t="s">
        <v>92</v>
      </c>
      <c r="H37" t="s">
        <v>54</v>
      </c>
      <c r="I37">
        <v>27</v>
      </c>
      <c r="J37" t="s">
        <v>65</v>
      </c>
      <c r="K37" t="s">
        <v>56</v>
      </c>
      <c r="L37" t="s">
        <v>75</v>
      </c>
      <c r="M37" t="s">
        <v>58</v>
      </c>
      <c r="N37">
        <v>2</v>
      </c>
      <c r="O37">
        <v>55000</v>
      </c>
      <c r="P37">
        <v>0</v>
      </c>
      <c r="Q37">
        <v>110000</v>
      </c>
      <c r="R37">
        <v>84000</v>
      </c>
      <c r="S37">
        <v>26000</v>
      </c>
      <c r="T37" t="s">
        <v>84</v>
      </c>
      <c r="U37">
        <v>2</v>
      </c>
      <c r="V37">
        <v>8</v>
      </c>
      <c r="W37" t="s">
        <v>43</v>
      </c>
      <c r="X37">
        <v>220000</v>
      </c>
      <c r="Y37">
        <v>2025</v>
      </c>
      <c r="Z37">
        <v>6</v>
      </c>
      <c r="AA37">
        <v>8</v>
      </c>
      <c r="AB37" t="s">
        <v>44</v>
      </c>
      <c r="AC37" t="s">
        <v>45</v>
      </c>
      <c r="AD37" t="s">
        <v>85</v>
      </c>
      <c r="AE37" t="s">
        <v>86</v>
      </c>
      <c r="AF37" t="s">
        <v>87</v>
      </c>
    </row>
    <row r="38" spans="1:32" x14ac:dyDescent="0.3">
      <c r="A38">
        <v>1037</v>
      </c>
      <c r="B38" s="2">
        <v>45775</v>
      </c>
      <c r="C38" t="s">
        <v>72</v>
      </c>
      <c r="D38" t="s">
        <v>51</v>
      </c>
      <c r="E38" t="s">
        <v>51</v>
      </c>
      <c r="F38" t="s">
        <v>160</v>
      </c>
      <c r="G38" t="s">
        <v>64</v>
      </c>
      <c r="H38" t="s">
        <v>37</v>
      </c>
      <c r="I38">
        <v>40</v>
      </c>
      <c r="J38" t="s">
        <v>38</v>
      </c>
      <c r="K38" t="s">
        <v>39</v>
      </c>
      <c r="L38" t="s">
        <v>75</v>
      </c>
      <c r="M38" t="s">
        <v>48</v>
      </c>
      <c r="N38">
        <v>2</v>
      </c>
      <c r="O38">
        <v>2000</v>
      </c>
      <c r="P38">
        <v>10</v>
      </c>
      <c r="Q38">
        <v>3600</v>
      </c>
      <c r="R38">
        <v>2400</v>
      </c>
      <c r="S38">
        <v>1200</v>
      </c>
      <c r="T38" t="s">
        <v>67</v>
      </c>
      <c r="U38">
        <v>4</v>
      </c>
      <c r="V38">
        <v>6</v>
      </c>
      <c r="W38" t="s">
        <v>76</v>
      </c>
      <c r="X38">
        <v>7200</v>
      </c>
      <c r="Y38">
        <v>2025</v>
      </c>
      <c r="Z38">
        <v>4</v>
      </c>
      <c r="AA38">
        <v>28</v>
      </c>
      <c r="AB38" t="s">
        <v>110</v>
      </c>
      <c r="AC38" t="s">
        <v>111</v>
      </c>
      <c r="AD38" t="s">
        <v>151</v>
      </c>
      <c r="AE38" t="s">
        <v>152</v>
      </c>
      <c r="AF38" t="s">
        <v>48</v>
      </c>
    </row>
    <row r="39" spans="1:32" x14ac:dyDescent="0.3">
      <c r="A39">
        <v>1038</v>
      </c>
      <c r="B39" s="2">
        <v>45820</v>
      </c>
      <c r="C39" t="s">
        <v>72</v>
      </c>
      <c r="D39" t="s">
        <v>101</v>
      </c>
      <c r="E39" t="s">
        <v>127</v>
      </c>
      <c r="F39" t="s">
        <v>161</v>
      </c>
      <c r="G39" t="s">
        <v>94</v>
      </c>
      <c r="H39" t="s">
        <v>37</v>
      </c>
      <c r="I39">
        <v>55</v>
      </c>
      <c r="J39" t="s">
        <v>90</v>
      </c>
      <c r="K39" t="s">
        <v>56</v>
      </c>
      <c r="L39" t="s">
        <v>57</v>
      </c>
      <c r="M39" t="s">
        <v>58</v>
      </c>
      <c r="N39">
        <v>3</v>
      </c>
      <c r="O39">
        <v>25000</v>
      </c>
      <c r="P39">
        <v>10</v>
      </c>
      <c r="Q39">
        <v>67500</v>
      </c>
      <c r="R39">
        <v>54000</v>
      </c>
      <c r="S39">
        <v>13500</v>
      </c>
      <c r="T39" t="s">
        <v>42</v>
      </c>
      <c r="U39">
        <v>1</v>
      </c>
      <c r="V39">
        <v>2</v>
      </c>
      <c r="W39" t="s">
        <v>43</v>
      </c>
      <c r="X39">
        <v>202500</v>
      </c>
      <c r="Y39">
        <v>2025</v>
      </c>
      <c r="Z39">
        <v>6</v>
      </c>
      <c r="AA39">
        <v>12</v>
      </c>
      <c r="AB39" t="s">
        <v>135</v>
      </c>
      <c r="AC39" t="s">
        <v>136</v>
      </c>
      <c r="AD39" t="s">
        <v>85</v>
      </c>
      <c r="AE39" t="s">
        <v>86</v>
      </c>
      <c r="AF39" t="s">
        <v>48</v>
      </c>
    </row>
    <row r="40" spans="1:32" x14ac:dyDescent="0.3">
      <c r="A40">
        <v>1039</v>
      </c>
      <c r="B40" s="2">
        <v>45874</v>
      </c>
      <c r="C40" t="s">
        <v>107</v>
      </c>
      <c r="D40" t="s">
        <v>33</v>
      </c>
      <c r="E40" t="s">
        <v>34</v>
      </c>
      <c r="F40" t="s">
        <v>162</v>
      </c>
      <c r="G40" t="s">
        <v>94</v>
      </c>
      <c r="H40" t="s">
        <v>37</v>
      </c>
      <c r="I40">
        <v>60</v>
      </c>
      <c r="J40" t="s">
        <v>134</v>
      </c>
      <c r="K40" t="s">
        <v>56</v>
      </c>
      <c r="L40" t="s">
        <v>124</v>
      </c>
      <c r="M40" t="s">
        <v>48</v>
      </c>
      <c r="N40">
        <v>5</v>
      </c>
      <c r="O40">
        <v>18754.14</v>
      </c>
      <c r="P40">
        <v>10</v>
      </c>
      <c r="Q40">
        <v>135000</v>
      </c>
      <c r="R40">
        <v>110000</v>
      </c>
      <c r="S40">
        <v>25000</v>
      </c>
      <c r="T40" t="s">
        <v>42</v>
      </c>
      <c r="U40">
        <v>5</v>
      </c>
      <c r="V40">
        <v>2</v>
      </c>
      <c r="W40" t="s">
        <v>76</v>
      </c>
      <c r="X40">
        <v>675000</v>
      </c>
      <c r="Y40">
        <v>2025</v>
      </c>
      <c r="Z40">
        <v>8</v>
      </c>
      <c r="AA40">
        <v>5</v>
      </c>
      <c r="AB40" t="s">
        <v>59</v>
      </c>
      <c r="AC40" t="s">
        <v>60</v>
      </c>
      <c r="AD40" t="s">
        <v>61</v>
      </c>
      <c r="AE40" t="s">
        <v>62</v>
      </c>
      <c r="AF40" t="s">
        <v>48</v>
      </c>
    </row>
    <row r="41" spans="1:32" x14ac:dyDescent="0.3">
      <c r="A41">
        <v>1040</v>
      </c>
      <c r="B41" s="2">
        <v>45752</v>
      </c>
      <c r="C41" t="s">
        <v>107</v>
      </c>
      <c r="D41" t="s">
        <v>50</v>
      </c>
      <c r="E41" t="s">
        <v>129</v>
      </c>
      <c r="F41" t="s">
        <v>163</v>
      </c>
      <c r="G41" t="s">
        <v>89</v>
      </c>
      <c r="H41" t="s">
        <v>37</v>
      </c>
      <c r="I41">
        <v>43</v>
      </c>
      <c r="J41" t="s">
        <v>109</v>
      </c>
      <c r="K41" t="s">
        <v>39</v>
      </c>
      <c r="L41" t="s">
        <v>57</v>
      </c>
      <c r="M41" t="s">
        <v>41</v>
      </c>
      <c r="N41">
        <v>1</v>
      </c>
      <c r="O41">
        <v>800</v>
      </c>
      <c r="P41">
        <v>5</v>
      </c>
      <c r="Q41">
        <v>760</v>
      </c>
      <c r="R41">
        <v>400</v>
      </c>
      <c r="S41">
        <v>360</v>
      </c>
      <c r="T41" t="s">
        <v>105</v>
      </c>
      <c r="U41">
        <v>5</v>
      </c>
      <c r="V41">
        <v>8</v>
      </c>
      <c r="W41" t="s">
        <v>76</v>
      </c>
      <c r="X41">
        <v>760</v>
      </c>
      <c r="Y41">
        <v>2025</v>
      </c>
      <c r="Z41">
        <v>4</v>
      </c>
      <c r="AA41">
        <v>5</v>
      </c>
      <c r="AB41" t="s">
        <v>77</v>
      </c>
      <c r="AC41" t="s">
        <v>78</v>
      </c>
      <c r="AD41" t="s">
        <v>151</v>
      </c>
      <c r="AE41" t="s">
        <v>152</v>
      </c>
      <c r="AF41" t="s">
        <v>106</v>
      </c>
    </row>
    <row r="42" spans="1:32" x14ac:dyDescent="0.3">
      <c r="A42">
        <v>1041</v>
      </c>
      <c r="B42" s="2">
        <v>45992</v>
      </c>
      <c r="C42" t="s">
        <v>49</v>
      </c>
      <c r="D42" t="s">
        <v>81</v>
      </c>
      <c r="E42" t="s">
        <v>82</v>
      </c>
      <c r="F42" t="s">
        <v>164</v>
      </c>
      <c r="G42" t="s">
        <v>118</v>
      </c>
      <c r="H42" t="s">
        <v>37</v>
      </c>
      <c r="I42">
        <v>53</v>
      </c>
      <c r="J42" t="s">
        <v>65</v>
      </c>
      <c r="K42" t="s">
        <v>56</v>
      </c>
      <c r="L42" t="s">
        <v>66</v>
      </c>
      <c r="M42" t="s">
        <v>58</v>
      </c>
      <c r="N42">
        <v>2</v>
      </c>
      <c r="O42">
        <v>55000</v>
      </c>
      <c r="P42">
        <v>10</v>
      </c>
      <c r="Q42">
        <v>99000</v>
      </c>
      <c r="R42">
        <v>84000</v>
      </c>
      <c r="S42">
        <v>15000</v>
      </c>
      <c r="T42" t="s">
        <v>42</v>
      </c>
      <c r="U42">
        <v>2</v>
      </c>
      <c r="V42">
        <v>3</v>
      </c>
      <c r="W42" t="s">
        <v>43</v>
      </c>
      <c r="X42">
        <v>198000</v>
      </c>
      <c r="Y42">
        <v>2025</v>
      </c>
      <c r="Z42">
        <v>12</v>
      </c>
      <c r="AA42">
        <v>1</v>
      </c>
      <c r="AB42" t="s">
        <v>110</v>
      </c>
      <c r="AC42" t="s">
        <v>111</v>
      </c>
      <c r="AD42" t="s">
        <v>112</v>
      </c>
      <c r="AE42" t="s">
        <v>113</v>
      </c>
      <c r="AF42" t="s">
        <v>48</v>
      </c>
    </row>
    <row r="43" spans="1:32" x14ac:dyDescent="0.3">
      <c r="A43">
        <v>1042</v>
      </c>
      <c r="B43" s="2">
        <v>45907</v>
      </c>
      <c r="C43" t="s">
        <v>72</v>
      </c>
      <c r="D43" t="s">
        <v>33</v>
      </c>
      <c r="E43" t="s">
        <v>34</v>
      </c>
      <c r="F43" t="s">
        <v>165</v>
      </c>
      <c r="G43" t="s">
        <v>74</v>
      </c>
      <c r="H43" t="s">
        <v>54</v>
      </c>
      <c r="I43">
        <v>53</v>
      </c>
      <c r="J43" t="s">
        <v>55</v>
      </c>
      <c r="K43" t="s">
        <v>56</v>
      </c>
      <c r="L43" t="s">
        <v>40</v>
      </c>
      <c r="M43" t="s">
        <v>41</v>
      </c>
      <c r="N43">
        <v>1</v>
      </c>
      <c r="O43">
        <v>15000</v>
      </c>
      <c r="P43">
        <v>10</v>
      </c>
      <c r="Q43">
        <v>13500</v>
      </c>
      <c r="R43">
        <v>11000</v>
      </c>
      <c r="S43">
        <v>2500</v>
      </c>
      <c r="T43" t="s">
        <v>42</v>
      </c>
      <c r="U43">
        <v>3</v>
      </c>
      <c r="V43">
        <v>7</v>
      </c>
      <c r="W43" t="s">
        <v>43</v>
      </c>
      <c r="X43">
        <v>13500</v>
      </c>
      <c r="Y43">
        <v>2025</v>
      </c>
      <c r="Z43">
        <v>9</v>
      </c>
      <c r="AA43">
        <v>7</v>
      </c>
      <c r="AB43" t="s">
        <v>44</v>
      </c>
      <c r="AC43" t="s">
        <v>45</v>
      </c>
      <c r="AD43" t="s">
        <v>46</v>
      </c>
      <c r="AE43" t="s">
        <v>47</v>
      </c>
      <c r="AF43" t="s">
        <v>48</v>
      </c>
    </row>
    <row r="44" spans="1:32" x14ac:dyDescent="0.3">
      <c r="A44">
        <v>1043</v>
      </c>
      <c r="B44" s="2">
        <v>45874</v>
      </c>
      <c r="C44" t="s">
        <v>72</v>
      </c>
      <c r="D44" t="s">
        <v>81</v>
      </c>
      <c r="E44" t="s">
        <v>82</v>
      </c>
      <c r="F44" t="s">
        <v>166</v>
      </c>
      <c r="G44" t="s">
        <v>118</v>
      </c>
      <c r="H44" t="s">
        <v>54</v>
      </c>
      <c r="I44">
        <v>34</v>
      </c>
      <c r="J44" t="s">
        <v>98</v>
      </c>
      <c r="K44" t="s">
        <v>56</v>
      </c>
      <c r="L44" t="s">
        <v>64</v>
      </c>
      <c r="M44" t="s">
        <v>95</v>
      </c>
      <c r="N44">
        <v>2</v>
      </c>
      <c r="O44">
        <v>10000</v>
      </c>
      <c r="P44">
        <v>5</v>
      </c>
      <c r="Q44">
        <v>19000</v>
      </c>
      <c r="R44">
        <v>15000</v>
      </c>
      <c r="S44">
        <v>4000</v>
      </c>
      <c r="T44" t="s">
        <v>105</v>
      </c>
      <c r="U44">
        <v>2</v>
      </c>
      <c r="V44">
        <v>4</v>
      </c>
      <c r="W44" t="s">
        <v>76</v>
      </c>
      <c r="X44">
        <v>38000</v>
      </c>
      <c r="Y44">
        <v>2025</v>
      </c>
      <c r="Z44">
        <v>8</v>
      </c>
      <c r="AA44">
        <v>5</v>
      </c>
      <c r="AB44" t="s">
        <v>59</v>
      </c>
      <c r="AC44" t="s">
        <v>60</v>
      </c>
      <c r="AD44" t="s">
        <v>61</v>
      </c>
      <c r="AE44" t="s">
        <v>62</v>
      </c>
      <c r="AF44" t="s">
        <v>106</v>
      </c>
    </row>
    <row r="45" spans="1:32" x14ac:dyDescent="0.3">
      <c r="A45">
        <v>1044</v>
      </c>
      <c r="B45" s="2">
        <v>45660</v>
      </c>
      <c r="C45" t="s">
        <v>107</v>
      </c>
      <c r="D45" t="s">
        <v>81</v>
      </c>
      <c r="E45" t="s">
        <v>145</v>
      </c>
      <c r="F45" t="s">
        <v>167</v>
      </c>
      <c r="G45" t="s">
        <v>74</v>
      </c>
      <c r="H45" t="s">
        <v>37</v>
      </c>
      <c r="I45">
        <v>55</v>
      </c>
      <c r="J45" t="s">
        <v>90</v>
      </c>
      <c r="K45" t="s">
        <v>56</v>
      </c>
      <c r="L45" t="s">
        <v>40</v>
      </c>
      <c r="M45" t="s">
        <v>48</v>
      </c>
      <c r="N45">
        <v>3</v>
      </c>
      <c r="O45">
        <v>30000</v>
      </c>
      <c r="P45">
        <v>15</v>
      </c>
      <c r="Q45">
        <v>76500</v>
      </c>
      <c r="R45">
        <v>66000</v>
      </c>
      <c r="S45">
        <v>10500</v>
      </c>
      <c r="T45" t="s">
        <v>42</v>
      </c>
      <c r="U45">
        <v>2</v>
      </c>
      <c r="V45">
        <v>5</v>
      </c>
      <c r="W45" t="s">
        <v>76</v>
      </c>
      <c r="X45">
        <v>229500</v>
      </c>
      <c r="Y45">
        <v>2025</v>
      </c>
      <c r="Z45">
        <v>1</v>
      </c>
      <c r="AA45">
        <v>3</v>
      </c>
      <c r="AB45" t="s">
        <v>115</v>
      </c>
      <c r="AC45" t="s">
        <v>116</v>
      </c>
      <c r="AD45" t="s">
        <v>119</v>
      </c>
      <c r="AE45" t="s">
        <v>120</v>
      </c>
      <c r="AF45" t="s">
        <v>48</v>
      </c>
    </row>
    <row r="46" spans="1:32" x14ac:dyDescent="0.3">
      <c r="A46">
        <v>1045</v>
      </c>
      <c r="B46" s="2">
        <v>45929</v>
      </c>
      <c r="C46" t="s">
        <v>72</v>
      </c>
      <c r="D46" t="s">
        <v>33</v>
      </c>
      <c r="E46" t="s">
        <v>34</v>
      </c>
      <c r="F46" t="s">
        <v>168</v>
      </c>
      <c r="G46" t="s">
        <v>169</v>
      </c>
      <c r="H46" t="s">
        <v>37</v>
      </c>
      <c r="I46">
        <v>33</v>
      </c>
      <c r="J46" t="s">
        <v>38</v>
      </c>
      <c r="K46" t="s">
        <v>39</v>
      </c>
      <c r="L46" t="s">
        <v>104</v>
      </c>
      <c r="M46" t="s">
        <v>95</v>
      </c>
      <c r="N46">
        <v>4</v>
      </c>
      <c r="O46">
        <v>2000</v>
      </c>
      <c r="P46">
        <v>5</v>
      </c>
      <c r="Q46">
        <v>7600</v>
      </c>
      <c r="R46">
        <v>4800</v>
      </c>
      <c r="S46">
        <v>2800</v>
      </c>
      <c r="T46" t="s">
        <v>42</v>
      </c>
      <c r="U46">
        <v>1</v>
      </c>
      <c r="V46">
        <v>4</v>
      </c>
      <c r="W46" t="s">
        <v>76</v>
      </c>
      <c r="X46">
        <v>30400</v>
      </c>
      <c r="Y46">
        <v>2025</v>
      </c>
      <c r="Z46">
        <v>9</v>
      </c>
      <c r="AA46">
        <v>29</v>
      </c>
      <c r="AB46" t="s">
        <v>110</v>
      </c>
      <c r="AC46" t="s">
        <v>111</v>
      </c>
      <c r="AD46" t="s">
        <v>46</v>
      </c>
      <c r="AE46" t="s">
        <v>47</v>
      </c>
      <c r="AF46" t="s">
        <v>48</v>
      </c>
    </row>
    <row r="47" spans="1:32" x14ac:dyDescent="0.3">
      <c r="A47">
        <v>1046</v>
      </c>
      <c r="B47" s="2">
        <v>45750</v>
      </c>
      <c r="C47" t="s">
        <v>49</v>
      </c>
      <c r="D47" t="s">
        <v>33</v>
      </c>
      <c r="E47" t="s">
        <v>34</v>
      </c>
      <c r="F47" t="s">
        <v>170</v>
      </c>
      <c r="G47" t="s">
        <v>66</v>
      </c>
      <c r="H47" t="s">
        <v>37</v>
      </c>
      <c r="I47">
        <v>20</v>
      </c>
      <c r="J47" t="s">
        <v>90</v>
      </c>
      <c r="K47" t="s">
        <v>56</v>
      </c>
      <c r="L47" t="s">
        <v>57</v>
      </c>
      <c r="M47" t="s">
        <v>41</v>
      </c>
      <c r="N47">
        <v>5</v>
      </c>
      <c r="O47">
        <v>25000</v>
      </c>
      <c r="P47">
        <v>0</v>
      </c>
      <c r="Q47">
        <v>125000</v>
      </c>
      <c r="R47">
        <v>90000</v>
      </c>
      <c r="S47">
        <v>35000</v>
      </c>
      <c r="T47" t="s">
        <v>84</v>
      </c>
      <c r="U47">
        <v>1</v>
      </c>
      <c r="V47">
        <v>7</v>
      </c>
      <c r="W47" t="s">
        <v>76</v>
      </c>
      <c r="X47">
        <v>625000</v>
      </c>
      <c r="Y47">
        <v>2025</v>
      </c>
      <c r="Z47">
        <v>4</v>
      </c>
      <c r="AA47">
        <v>3</v>
      </c>
      <c r="AB47" t="s">
        <v>135</v>
      </c>
      <c r="AC47" t="s">
        <v>136</v>
      </c>
      <c r="AD47" t="s">
        <v>151</v>
      </c>
      <c r="AE47" t="s">
        <v>152</v>
      </c>
      <c r="AF47" t="s">
        <v>87</v>
      </c>
    </row>
    <row r="48" spans="1:32" x14ac:dyDescent="0.3">
      <c r="A48">
        <v>1047</v>
      </c>
      <c r="B48" s="2">
        <v>45699</v>
      </c>
      <c r="C48" t="s">
        <v>32</v>
      </c>
      <c r="D48" t="s">
        <v>50</v>
      </c>
      <c r="E48" t="s">
        <v>51</v>
      </c>
      <c r="F48" t="s">
        <v>171</v>
      </c>
      <c r="G48" t="s">
        <v>89</v>
      </c>
      <c r="H48" t="s">
        <v>37</v>
      </c>
      <c r="I48">
        <v>42</v>
      </c>
      <c r="J48" t="s">
        <v>103</v>
      </c>
      <c r="K48" t="s">
        <v>39</v>
      </c>
      <c r="L48" t="s">
        <v>57</v>
      </c>
      <c r="M48" t="s">
        <v>58</v>
      </c>
      <c r="N48">
        <v>5</v>
      </c>
      <c r="O48">
        <v>1200</v>
      </c>
      <c r="P48">
        <v>5</v>
      </c>
      <c r="Q48">
        <v>5700</v>
      </c>
      <c r="R48">
        <v>3500</v>
      </c>
      <c r="S48">
        <v>2200</v>
      </c>
      <c r="T48" t="s">
        <v>67</v>
      </c>
      <c r="U48">
        <v>2</v>
      </c>
      <c r="V48">
        <v>4</v>
      </c>
      <c r="W48" t="s">
        <v>76</v>
      </c>
      <c r="X48">
        <v>28500</v>
      </c>
      <c r="Y48">
        <v>2025</v>
      </c>
      <c r="Z48">
        <v>2</v>
      </c>
      <c r="AA48">
        <v>11</v>
      </c>
      <c r="AB48" t="s">
        <v>59</v>
      </c>
      <c r="AC48" t="s">
        <v>60</v>
      </c>
      <c r="AD48" t="s">
        <v>79</v>
      </c>
      <c r="AE48" t="s">
        <v>80</v>
      </c>
      <c r="AF48" t="s">
        <v>48</v>
      </c>
    </row>
    <row r="49" spans="1:32" x14ac:dyDescent="0.3">
      <c r="A49">
        <v>1048</v>
      </c>
      <c r="B49" s="2">
        <v>45465</v>
      </c>
      <c r="C49" t="s">
        <v>72</v>
      </c>
      <c r="D49" t="s">
        <v>81</v>
      </c>
      <c r="E49" t="s">
        <v>145</v>
      </c>
      <c r="F49" t="s">
        <v>172</v>
      </c>
      <c r="G49" t="s">
        <v>64</v>
      </c>
      <c r="H49" t="s">
        <v>37</v>
      </c>
      <c r="I49">
        <v>44</v>
      </c>
      <c r="J49" t="s">
        <v>103</v>
      </c>
      <c r="K49" t="s">
        <v>39</v>
      </c>
      <c r="L49" t="s">
        <v>75</v>
      </c>
      <c r="M49" t="s">
        <v>58</v>
      </c>
      <c r="N49">
        <v>2</v>
      </c>
      <c r="O49">
        <v>1200</v>
      </c>
      <c r="P49">
        <v>10</v>
      </c>
      <c r="Q49">
        <v>2160</v>
      </c>
      <c r="R49">
        <v>1400</v>
      </c>
      <c r="S49">
        <v>760</v>
      </c>
      <c r="T49" t="s">
        <v>105</v>
      </c>
      <c r="U49">
        <v>1</v>
      </c>
      <c r="V49">
        <v>4</v>
      </c>
      <c r="W49" t="s">
        <v>76</v>
      </c>
      <c r="X49">
        <v>4320</v>
      </c>
      <c r="Y49">
        <v>2024</v>
      </c>
      <c r="Z49">
        <v>6</v>
      </c>
      <c r="AA49">
        <v>22</v>
      </c>
      <c r="AB49" t="s">
        <v>77</v>
      </c>
      <c r="AC49" t="s">
        <v>78</v>
      </c>
      <c r="AD49" t="s">
        <v>85</v>
      </c>
      <c r="AE49" t="s">
        <v>86</v>
      </c>
      <c r="AF49" t="s">
        <v>106</v>
      </c>
    </row>
    <row r="50" spans="1:32" x14ac:dyDescent="0.3">
      <c r="A50">
        <v>1049</v>
      </c>
      <c r="B50" s="2">
        <v>45344</v>
      </c>
      <c r="C50" t="s">
        <v>72</v>
      </c>
      <c r="D50" t="s">
        <v>50</v>
      </c>
      <c r="E50" t="s">
        <v>51</v>
      </c>
      <c r="F50" t="s">
        <v>173</v>
      </c>
      <c r="G50" t="s">
        <v>53</v>
      </c>
      <c r="H50" t="s">
        <v>37</v>
      </c>
      <c r="I50">
        <v>59</v>
      </c>
      <c r="J50" t="s">
        <v>134</v>
      </c>
      <c r="K50" t="s">
        <v>56</v>
      </c>
      <c r="L50" t="s">
        <v>104</v>
      </c>
      <c r="M50" t="s">
        <v>48</v>
      </c>
      <c r="N50">
        <v>2</v>
      </c>
      <c r="O50">
        <v>30000</v>
      </c>
      <c r="P50">
        <v>0</v>
      </c>
      <c r="Q50">
        <v>60000</v>
      </c>
      <c r="R50">
        <v>44000</v>
      </c>
      <c r="S50">
        <v>16000</v>
      </c>
      <c r="T50" t="s">
        <v>42</v>
      </c>
      <c r="U50">
        <v>7</v>
      </c>
      <c r="V50">
        <v>4</v>
      </c>
      <c r="W50" t="s">
        <v>76</v>
      </c>
      <c r="X50">
        <v>120000</v>
      </c>
      <c r="Y50">
        <v>2024</v>
      </c>
      <c r="Z50">
        <v>2</v>
      </c>
      <c r="AA50">
        <v>22</v>
      </c>
      <c r="AB50" t="s">
        <v>135</v>
      </c>
      <c r="AC50" t="s">
        <v>136</v>
      </c>
      <c r="AD50" t="s">
        <v>79</v>
      </c>
      <c r="AE50" t="s">
        <v>80</v>
      </c>
      <c r="AF50" t="s">
        <v>48</v>
      </c>
    </row>
    <row r="51" spans="1:32" x14ac:dyDescent="0.3">
      <c r="A51">
        <v>1050</v>
      </c>
      <c r="B51" s="2">
        <v>45303</v>
      </c>
      <c r="C51" t="s">
        <v>32</v>
      </c>
      <c r="D51" t="s">
        <v>101</v>
      </c>
      <c r="E51" t="s">
        <v>127</v>
      </c>
      <c r="F51" t="s">
        <v>174</v>
      </c>
      <c r="G51" t="s">
        <v>154</v>
      </c>
      <c r="H51" t="s">
        <v>37</v>
      </c>
      <c r="I51">
        <v>47</v>
      </c>
      <c r="J51" t="s">
        <v>134</v>
      </c>
      <c r="K51" t="s">
        <v>56</v>
      </c>
      <c r="L51" t="s">
        <v>66</v>
      </c>
      <c r="M51" t="s">
        <v>41</v>
      </c>
      <c r="N51">
        <v>1</v>
      </c>
      <c r="O51">
        <v>30000</v>
      </c>
      <c r="P51">
        <v>0</v>
      </c>
      <c r="Q51">
        <v>30000</v>
      </c>
      <c r="R51">
        <v>22000</v>
      </c>
      <c r="S51">
        <v>8000</v>
      </c>
      <c r="T51" t="s">
        <v>42</v>
      </c>
      <c r="U51">
        <v>1</v>
      </c>
      <c r="V51">
        <v>2</v>
      </c>
      <c r="W51" t="s">
        <v>76</v>
      </c>
      <c r="X51">
        <v>30000</v>
      </c>
      <c r="Y51">
        <v>2024</v>
      </c>
      <c r="Z51">
        <v>1</v>
      </c>
      <c r="AA51">
        <v>12</v>
      </c>
      <c r="AB51" t="s">
        <v>115</v>
      </c>
      <c r="AC51" t="s">
        <v>116</v>
      </c>
      <c r="AD51" t="s">
        <v>119</v>
      </c>
      <c r="AE51" t="s">
        <v>120</v>
      </c>
      <c r="AF51" t="s">
        <v>48</v>
      </c>
    </row>
    <row r="52" spans="1:32" x14ac:dyDescent="0.3">
      <c r="A52">
        <v>1051</v>
      </c>
      <c r="B52" s="2">
        <v>45428</v>
      </c>
      <c r="C52" t="s">
        <v>32</v>
      </c>
      <c r="D52" t="s">
        <v>81</v>
      </c>
      <c r="E52" t="s">
        <v>82</v>
      </c>
      <c r="F52" t="s">
        <v>175</v>
      </c>
      <c r="G52" t="s">
        <v>94</v>
      </c>
      <c r="H52" t="s">
        <v>54</v>
      </c>
      <c r="I52">
        <v>51</v>
      </c>
      <c r="J52" t="s">
        <v>103</v>
      </c>
      <c r="K52" t="s">
        <v>39</v>
      </c>
      <c r="L52" t="s">
        <v>140</v>
      </c>
      <c r="M52" t="s">
        <v>48</v>
      </c>
      <c r="N52">
        <v>4</v>
      </c>
      <c r="O52">
        <v>1200</v>
      </c>
      <c r="P52">
        <v>10</v>
      </c>
      <c r="Q52">
        <v>4320</v>
      </c>
      <c r="R52">
        <v>2800</v>
      </c>
      <c r="S52">
        <v>1520</v>
      </c>
      <c r="T52" t="s">
        <v>67</v>
      </c>
      <c r="U52">
        <v>3</v>
      </c>
      <c r="V52">
        <v>8</v>
      </c>
      <c r="W52" t="s">
        <v>76</v>
      </c>
      <c r="X52">
        <v>17280</v>
      </c>
      <c r="Y52">
        <v>2024</v>
      </c>
      <c r="Z52">
        <v>5</v>
      </c>
      <c r="AA52">
        <v>16</v>
      </c>
      <c r="AB52" t="s">
        <v>135</v>
      </c>
      <c r="AC52" t="s">
        <v>136</v>
      </c>
      <c r="AD52" t="s">
        <v>96</v>
      </c>
      <c r="AE52" t="s">
        <v>96</v>
      </c>
      <c r="AF52" t="s">
        <v>48</v>
      </c>
    </row>
    <row r="53" spans="1:32" x14ac:dyDescent="0.3">
      <c r="A53">
        <v>1052</v>
      </c>
      <c r="B53" s="2">
        <v>45539</v>
      </c>
      <c r="C53" t="s">
        <v>32</v>
      </c>
      <c r="D53" t="s">
        <v>51</v>
      </c>
      <c r="E53" t="s">
        <v>51</v>
      </c>
      <c r="F53" t="s">
        <v>176</v>
      </c>
      <c r="G53" t="s">
        <v>89</v>
      </c>
      <c r="H53" t="s">
        <v>37</v>
      </c>
      <c r="I53">
        <v>34</v>
      </c>
      <c r="J53" t="s">
        <v>103</v>
      </c>
      <c r="K53" t="s">
        <v>39</v>
      </c>
      <c r="L53" t="s">
        <v>64</v>
      </c>
      <c r="M53" t="s">
        <v>48</v>
      </c>
      <c r="N53">
        <v>1</v>
      </c>
      <c r="O53">
        <v>1200</v>
      </c>
      <c r="P53">
        <v>15</v>
      </c>
      <c r="Q53">
        <v>1020</v>
      </c>
      <c r="R53">
        <v>700</v>
      </c>
      <c r="S53">
        <v>320</v>
      </c>
      <c r="T53" t="s">
        <v>67</v>
      </c>
      <c r="U53">
        <v>2</v>
      </c>
      <c r="V53">
        <v>6</v>
      </c>
      <c r="W53" t="s">
        <v>76</v>
      </c>
      <c r="X53">
        <v>1020</v>
      </c>
      <c r="Y53">
        <v>2024</v>
      </c>
      <c r="Z53">
        <v>9</v>
      </c>
      <c r="AA53">
        <v>4</v>
      </c>
      <c r="AB53" t="s">
        <v>68</v>
      </c>
      <c r="AC53" t="s">
        <v>69</v>
      </c>
      <c r="AD53" t="s">
        <v>46</v>
      </c>
      <c r="AE53" t="s">
        <v>47</v>
      </c>
      <c r="AF53" t="s">
        <v>48</v>
      </c>
    </row>
    <row r="54" spans="1:32" x14ac:dyDescent="0.3">
      <c r="A54">
        <v>1053</v>
      </c>
      <c r="B54" s="2">
        <v>45436</v>
      </c>
      <c r="C54" t="s">
        <v>107</v>
      </c>
      <c r="D54" t="s">
        <v>33</v>
      </c>
      <c r="E54" t="s">
        <v>34</v>
      </c>
      <c r="F54" t="s">
        <v>177</v>
      </c>
      <c r="G54" t="s">
        <v>53</v>
      </c>
      <c r="H54" t="s">
        <v>37</v>
      </c>
      <c r="I54">
        <v>23</v>
      </c>
      <c r="J54" t="s">
        <v>55</v>
      </c>
      <c r="K54" t="s">
        <v>56</v>
      </c>
      <c r="L54" t="s">
        <v>40</v>
      </c>
      <c r="M54" t="s">
        <v>48</v>
      </c>
      <c r="N54">
        <v>3</v>
      </c>
      <c r="O54">
        <v>15000</v>
      </c>
      <c r="P54">
        <v>5</v>
      </c>
      <c r="Q54">
        <v>42750</v>
      </c>
      <c r="R54">
        <v>33000</v>
      </c>
      <c r="S54">
        <v>9750</v>
      </c>
      <c r="T54" t="s">
        <v>67</v>
      </c>
      <c r="U54">
        <v>3</v>
      </c>
      <c r="V54">
        <v>7</v>
      </c>
      <c r="W54" t="s">
        <v>76</v>
      </c>
      <c r="X54">
        <v>128250</v>
      </c>
      <c r="Y54">
        <v>2024</v>
      </c>
      <c r="Z54">
        <v>5</v>
      </c>
      <c r="AA54">
        <v>24</v>
      </c>
      <c r="AB54" t="s">
        <v>115</v>
      </c>
      <c r="AC54" t="s">
        <v>116</v>
      </c>
      <c r="AD54" t="s">
        <v>96</v>
      </c>
      <c r="AE54" t="s">
        <v>96</v>
      </c>
      <c r="AF54" t="s">
        <v>48</v>
      </c>
    </row>
    <row r="55" spans="1:32" x14ac:dyDescent="0.3">
      <c r="A55">
        <v>1054</v>
      </c>
      <c r="B55" s="2">
        <v>45572</v>
      </c>
      <c r="C55" t="s">
        <v>32</v>
      </c>
      <c r="D55" t="s">
        <v>50</v>
      </c>
      <c r="E55" t="s">
        <v>129</v>
      </c>
      <c r="F55" t="s">
        <v>178</v>
      </c>
      <c r="G55" t="s">
        <v>154</v>
      </c>
      <c r="H55" t="s">
        <v>37</v>
      </c>
      <c r="I55">
        <v>45</v>
      </c>
      <c r="J55" t="s">
        <v>109</v>
      </c>
      <c r="K55" t="s">
        <v>39</v>
      </c>
      <c r="L55" t="s">
        <v>124</v>
      </c>
      <c r="M55" t="s">
        <v>48</v>
      </c>
      <c r="N55">
        <v>3</v>
      </c>
      <c r="O55">
        <v>800</v>
      </c>
      <c r="P55">
        <v>5</v>
      </c>
      <c r="Q55">
        <v>2280</v>
      </c>
      <c r="R55">
        <v>1200</v>
      </c>
      <c r="S55">
        <v>1080</v>
      </c>
      <c r="T55" t="s">
        <v>42</v>
      </c>
      <c r="U55">
        <v>5</v>
      </c>
      <c r="V55">
        <v>4</v>
      </c>
      <c r="W55" t="s">
        <v>76</v>
      </c>
      <c r="X55">
        <v>6840</v>
      </c>
      <c r="Y55">
        <v>2024</v>
      </c>
      <c r="Z55">
        <v>10</v>
      </c>
      <c r="AA55">
        <v>7</v>
      </c>
      <c r="AB55" t="s">
        <v>110</v>
      </c>
      <c r="AC55" t="s">
        <v>111</v>
      </c>
      <c r="AD55" t="s">
        <v>125</v>
      </c>
      <c r="AE55" t="s">
        <v>126</v>
      </c>
      <c r="AF55" t="s">
        <v>48</v>
      </c>
    </row>
    <row r="56" spans="1:32" x14ac:dyDescent="0.3">
      <c r="A56">
        <v>1055</v>
      </c>
      <c r="B56" s="2">
        <v>45763</v>
      </c>
      <c r="C56" t="s">
        <v>49</v>
      </c>
      <c r="D56" t="s">
        <v>101</v>
      </c>
      <c r="E56" t="s">
        <v>127</v>
      </c>
      <c r="F56" t="s">
        <v>179</v>
      </c>
      <c r="G56" t="s">
        <v>169</v>
      </c>
      <c r="H56" t="s">
        <v>37</v>
      </c>
      <c r="I56">
        <v>32</v>
      </c>
      <c r="J56" t="s">
        <v>65</v>
      </c>
      <c r="K56" t="s">
        <v>56</v>
      </c>
      <c r="L56" t="s">
        <v>40</v>
      </c>
      <c r="M56" t="s">
        <v>58</v>
      </c>
      <c r="N56">
        <v>1</v>
      </c>
      <c r="O56">
        <v>55000</v>
      </c>
      <c r="P56">
        <v>15</v>
      </c>
      <c r="Q56">
        <v>46750</v>
      </c>
      <c r="R56">
        <v>42000</v>
      </c>
      <c r="S56">
        <v>4750</v>
      </c>
      <c r="T56" t="s">
        <v>84</v>
      </c>
      <c r="U56">
        <v>3</v>
      </c>
      <c r="V56">
        <v>5</v>
      </c>
      <c r="W56" t="s">
        <v>76</v>
      </c>
      <c r="X56">
        <v>46750</v>
      </c>
      <c r="Y56">
        <v>2025</v>
      </c>
      <c r="Z56">
        <v>4</v>
      </c>
      <c r="AA56">
        <v>16</v>
      </c>
      <c r="AB56" t="s">
        <v>68</v>
      </c>
      <c r="AC56" t="s">
        <v>69</v>
      </c>
      <c r="AD56" t="s">
        <v>151</v>
      </c>
      <c r="AE56" t="s">
        <v>152</v>
      </c>
      <c r="AF56" t="s">
        <v>87</v>
      </c>
    </row>
    <row r="57" spans="1:32" x14ac:dyDescent="0.3">
      <c r="A57">
        <v>1056</v>
      </c>
      <c r="B57" s="2">
        <v>45437</v>
      </c>
      <c r="C57" t="s">
        <v>72</v>
      </c>
      <c r="D57" t="s">
        <v>101</v>
      </c>
      <c r="E57" t="s">
        <v>127</v>
      </c>
      <c r="F57" t="s">
        <v>180</v>
      </c>
      <c r="G57" t="s">
        <v>53</v>
      </c>
      <c r="H57" t="s">
        <v>37</v>
      </c>
      <c r="I57">
        <v>41</v>
      </c>
      <c r="J57" t="s">
        <v>103</v>
      </c>
      <c r="K57" t="s">
        <v>39</v>
      </c>
      <c r="L57" t="s">
        <v>57</v>
      </c>
      <c r="M57" t="s">
        <v>41</v>
      </c>
      <c r="N57">
        <v>3</v>
      </c>
      <c r="O57">
        <v>1200</v>
      </c>
      <c r="P57">
        <v>15</v>
      </c>
      <c r="Q57">
        <v>3060</v>
      </c>
      <c r="R57">
        <v>2100</v>
      </c>
      <c r="S57">
        <v>960</v>
      </c>
      <c r="T57" t="s">
        <v>42</v>
      </c>
      <c r="U57">
        <v>4</v>
      </c>
      <c r="V57">
        <v>8</v>
      </c>
      <c r="W57" t="s">
        <v>43</v>
      </c>
      <c r="X57">
        <v>9180</v>
      </c>
      <c r="Y57">
        <v>2024</v>
      </c>
      <c r="Z57">
        <v>5</v>
      </c>
      <c r="AA57">
        <v>25</v>
      </c>
      <c r="AB57" t="s">
        <v>77</v>
      </c>
      <c r="AC57" t="s">
        <v>78</v>
      </c>
      <c r="AD57" t="s">
        <v>96</v>
      </c>
      <c r="AE57" t="s">
        <v>96</v>
      </c>
      <c r="AF57" t="s">
        <v>48</v>
      </c>
    </row>
    <row r="58" spans="1:32" x14ac:dyDescent="0.3">
      <c r="A58">
        <v>1057</v>
      </c>
      <c r="B58" s="2">
        <v>45828</v>
      </c>
      <c r="C58" t="s">
        <v>49</v>
      </c>
      <c r="D58" t="s">
        <v>33</v>
      </c>
      <c r="E58" t="s">
        <v>34</v>
      </c>
      <c r="F58" t="s">
        <v>181</v>
      </c>
      <c r="G58" t="s">
        <v>53</v>
      </c>
      <c r="H58" t="s">
        <v>37</v>
      </c>
      <c r="I58">
        <v>43</v>
      </c>
      <c r="J58" t="s">
        <v>134</v>
      </c>
      <c r="K58" t="s">
        <v>56</v>
      </c>
      <c r="L58" t="s">
        <v>75</v>
      </c>
      <c r="M58" t="s">
        <v>41</v>
      </c>
      <c r="N58">
        <v>3</v>
      </c>
      <c r="O58">
        <v>30000</v>
      </c>
      <c r="P58">
        <v>5</v>
      </c>
      <c r="Q58">
        <v>85500</v>
      </c>
      <c r="R58">
        <v>66000</v>
      </c>
      <c r="S58">
        <v>19500</v>
      </c>
      <c r="T58" t="s">
        <v>42</v>
      </c>
      <c r="U58">
        <v>2</v>
      </c>
      <c r="V58">
        <v>5</v>
      </c>
      <c r="W58" t="s">
        <v>43</v>
      </c>
      <c r="X58">
        <v>256500</v>
      </c>
      <c r="Y58">
        <v>2025</v>
      </c>
      <c r="Z58">
        <v>6</v>
      </c>
      <c r="AA58">
        <v>20</v>
      </c>
      <c r="AB58" t="s">
        <v>115</v>
      </c>
      <c r="AC58" t="s">
        <v>116</v>
      </c>
      <c r="AD58" t="s">
        <v>85</v>
      </c>
      <c r="AE58" t="s">
        <v>86</v>
      </c>
      <c r="AF58" t="s">
        <v>48</v>
      </c>
    </row>
    <row r="59" spans="1:32" x14ac:dyDescent="0.3">
      <c r="A59">
        <v>1058</v>
      </c>
      <c r="B59" s="2">
        <v>45868</v>
      </c>
      <c r="C59" t="s">
        <v>107</v>
      </c>
      <c r="D59" t="s">
        <v>33</v>
      </c>
      <c r="E59" t="s">
        <v>34</v>
      </c>
      <c r="F59" t="s">
        <v>182</v>
      </c>
      <c r="G59" t="s">
        <v>36</v>
      </c>
      <c r="H59" t="s">
        <v>54</v>
      </c>
      <c r="I59">
        <v>54</v>
      </c>
      <c r="J59" t="s">
        <v>38</v>
      </c>
      <c r="K59" t="s">
        <v>39</v>
      </c>
      <c r="L59" t="s">
        <v>140</v>
      </c>
      <c r="M59" t="s">
        <v>41</v>
      </c>
      <c r="N59">
        <v>5</v>
      </c>
      <c r="O59">
        <v>2000</v>
      </c>
      <c r="P59">
        <v>5</v>
      </c>
      <c r="Q59">
        <v>9500</v>
      </c>
      <c r="R59">
        <v>6000</v>
      </c>
      <c r="S59">
        <v>3500</v>
      </c>
      <c r="T59" t="s">
        <v>84</v>
      </c>
      <c r="U59">
        <v>3</v>
      </c>
      <c r="V59">
        <v>7</v>
      </c>
      <c r="W59" t="s">
        <v>76</v>
      </c>
      <c r="X59">
        <v>47500</v>
      </c>
      <c r="Y59">
        <v>2025</v>
      </c>
      <c r="Z59">
        <v>7</v>
      </c>
      <c r="AA59">
        <v>30</v>
      </c>
      <c r="AB59" t="s">
        <v>68</v>
      </c>
      <c r="AC59" t="s">
        <v>69</v>
      </c>
      <c r="AD59" t="s">
        <v>70</v>
      </c>
      <c r="AE59" t="s">
        <v>71</v>
      </c>
      <c r="AF59" t="s">
        <v>87</v>
      </c>
    </row>
    <row r="60" spans="1:32" x14ac:dyDescent="0.3">
      <c r="A60">
        <v>1059</v>
      </c>
      <c r="B60" s="2">
        <v>45544</v>
      </c>
      <c r="C60" t="s">
        <v>107</v>
      </c>
      <c r="D60" t="s">
        <v>50</v>
      </c>
      <c r="E60" t="s">
        <v>51</v>
      </c>
      <c r="F60" t="s">
        <v>183</v>
      </c>
      <c r="G60" t="s">
        <v>89</v>
      </c>
      <c r="H60" t="s">
        <v>37</v>
      </c>
      <c r="I60">
        <v>57</v>
      </c>
      <c r="J60" t="s">
        <v>90</v>
      </c>
      <c r="K60" t="s">
        <v>56</v>
      </c>
      <c r="L60" t="s">
        <v>140</v>
      </c>
      <c r="M60" t="s">
        <v>41</v>
      </c>
      <c r="N60">
        <v>4</v>
      </c>
      <c r="O60">
        <v>25000</v>
      </c>
      <c r="P60">
        <v>5</v>
      </c>
      <c r="Q60">
        <v>95000</v>
      </c>
      <c r="R60">
        <v>72000</v>
      </c>
      <c r="S60">
        <v>23000</v>
      </c>
      <c r="T60" t="s">
        <v>42</v>
      </c>
      <c r="U60">
        <v>5</v>
      </c>
      <c r="V60">
        <v>4</v>
      </c>
      <c r="W60" t="s">
        <v>43</v>
      </c>
      <c r="X60">
        <v>380000</v>
      </c>
      <c r="Y60">
        <v>2024</v>
      </c>
      <c r="Z60">
        <v>9</v>
      </c>
      <c r="AA60">
        <v>9</v>
      </c>
      <c r="AB60" t="s">
        <v>110</v>
      </c>
      <c r="AC60" t="s">
        <v>111</v>
      </c>
      <c r="AD60" t="s">
        <v>46</v>
      </c>
      <c r="AE60" t="s">
        <v>47</v>
      </c>
      <c r="AF60" t="s">
        <v>48</v>
      </c>
    </row>
    <row r="61" spans="1:32" x14ac:dyDescent="0.3">
      <c r="A61">
        <v>1060</v>
      </c>
      <c r="B61" s="2">
        <v>45960</v>
      </c>
      <c r="C61" t="s">
        <v>72</v>
      </c>
      <c r="D61" t="s">
        <v>50</v>
      </c>
      <c r="E61" t="s">
        <v>51</v>
      </c>
      <c r="F61" t="s">
        <v>184</v>
      </c>
      <c r="G61" t="s">
        <v>89</v>
      </c>
      <c r="H61" t="s">
        <v>37</v>
      </c>
      <c r="I61">
        <v>27</v>
      </c>
      <c r="J61" t="s">
        <v>103</v>
      </c>
      <c r="K61" t="s">
        <v>39</v>
      </c>
      <c r="L61" t="s">
        <v>64</v>
      </c>
      <c r="M61" t="s">
        <v>41</v>
      </c>
      <c r="N61">
        <v>4</v>
      </c>
      <c r="O61">
        <v>1200</v>
      </c>
      <c r="P61">
        <v>15</v>
      </c>
      <c r="Q61">
        <v>4080</v>
      </c>
      <c r="R61">
        <v>2800</v>
      </c>
      <c r="S61">
        <v>1280</v>
      </c>
      <c r="T61" t="s">
        <v>84</v>
      </c>
      <c r="U61">
        <v>2</v>
      </c>
      <c r="V61">
        <v>4</v>
      </c>
      <c r="W61" t="s">
        <v>43</v>
      </c>
      <c r="X61">
        <v>16320</v>
      </c>
      <c r="Y61">
        <v>2025</v>
      </c>
      <c r="Z61">
        <v>10</v>
      </c>
      <c r="AA61">
        <v>30</v>
      </c>
      <c r="AB61" t="s">
        <v>135</v>
      </c>
      <c r="AC61" t="s">
        <v>136</v>
      </c>
      <c r="AD61" t="s">
        <v>125</v>
      </c>
      <c r="AE61" t="s">
        <v>126</v>
      </c>
      <c r="AF61" t="s">
        <v>87</v>
      </c>
    </row>
    <row r="62" spans="1:32" x14ac:dyDescent="0.3">
      <c r="A62">
        <v>1061</v>
      </c>
      <c r="B62" s="2">
        <v>45303</v>
      </c>
      <c r="C62" t="s">
        <v>72</v>
      </c>
      <c r="D62" t="s">
        <v>81</v>
      </c>
      <c r="E62" t="s">
        <v>145</v>
      </c>
      <c r="F62" t="s">
        <v>185</v>
      </c>
      <c r="G62" t="s">
        <v>92</v>
      </c>
      <c r="H62" t="s">
        <v>54</v>
      </c>
      <c r="I62">
        <v>54</v>
      </c>
      <c r="J62" t="s">
        <v>55</v>
      </c>
      <c r="K62" t="s">
        <v>56</v>
      </c>
      <c r="L62" t="s">
        <v>140</v>
      </c>
      <c r="M62" t="s">
        <v>48</v>
      </c>
      <c r="N62">
        <v>1</v>
      </c>
      <c r="O62">
        <v>15000</v>
      </c>
      <c r="P62">
        <v>15</v>
      </c>
      <c r="Q62">
        <v>12750</v>
      </c>
      <c r="R62">
        <v>11000</v>
      </c>
      <c r="S62">
        <v>1750</v>
      </c>
      <c r="T62" t="s">
        <v>42</v>
      </c>
      <c r="U62">
        <v>3</v>
      </c>
      <c r="V62">
        <v>3</v>
      </c>
      <c r="W62" t="s">
        <v>43</v>
      </c>
      <c r="X62">
        <v>12750</v>
      </c>
      <c r="Y62">
        <v>2024</v>
      </c>
      <c r="Z62">
        <v>1</v>
      </c>
      <c r="AA62">
        <v>12</v>
      </c>
      <c r="AB62" t="s">
        <v>115</v>
      </c>
      <c r="AC62" t="s">
        <v>116</v>
      </c>
      <c r="AD62" t="s">
        <v>119</v>
      </c>
      <c r="AE62" t="s">
        <v>120</v>
      </c>
      <c r="AF62" t="s">
        <v>48</v>
      </c>
    </row>
    <row r="63" spans="1:32" x14ac:dyDescent="0.3">
      <c r="A63">
        <v>1062</v>
      </c>
      <c r="B63" s="2">
        <v>45654</v>
      </c>
      <c r="C63" t="s">
        <v>32</v>
      </c>
      <c r="D63" t="s">
        <v>101</v>
      </c>
      <c r="E63" t="s">
        <v>127</v>
      </c>
      <c r="F63" t="s">
        <v>186</v>
      </c>
      <c r="G63" t="s">
        <v>123</v>
      </c>
      <c r="H63" t="s">
        <v>54</v>
      </c>
      <c r="I63">
        <v>30</v>
      </c>
      <c r="J63" t="s">
        <v>134</v>
      </c>
      <c r="K63" t="s">
        <v>56</v>
      </c>
      <c r="L63" t="s">
        <v>57</v>
      </c>
      <c r="M63" t="s">
        <v>95</v>
      </c>
      <c r="N63">
        <v>4</v>
      </c>
      <c r="O63">
        <v>30000</v>
      </c>
      <c r="P63">
        <v>15</v>
      </c>
      <c r="Q63">
        <v>102000</v>
      </c>
      <c r="R63">
        <v>88000</v>
      </c>
      <c r="S63">
        <v>14000</v>
      </c>
      <c r="T63" t="s">
        <v>105</v>
      </c>
      <c r="U63">
        <v>5</v>
      </c>
      <c r="V63">
        <v>5</v>
      </c>
      <c r="W63" t="s">
        <v>76</v>
      </c>
      <c r="X63">
        <v>408000</v>
      </c>
      <c r="Y63">
        <v>2024</v>
      </c>
      <c r="Z63">
        <v>12</v>
      </c>
      <c r="AA63">
        <v>28</v>
      </c>
      <c r="AB63" t="s">
        <v>77</v>
      </c>
      <c r="AC63" t="s">
        <v>78</v>
      </c>
      <c r="AD63" t="s">
        <v>112</v>
      </c>
      <c r="AE63" t="s">
        <v>113</v>
      </c>
      <c r="AF63" t="s">
        <v>106</v>
      </c>
    </row>
    <row r="64" spans="1:32" x14ac:dyDescent="0.3">
      <c r="A64">
        <v>1063</v>
      </c>
      <c r="B64" s="2">
        <v>45790</v>
      </c>
      <c r="C64" t="s">
        <v>49</v>
      </c>
      <c r="D64" t="s">
        <v>51</v>
      </c>
      <c r="E64" t="s">
        <v>51</v>
      </c>
      <c r="F64" t="s">
        <v>187</v>
      </c>
      <c r="G64" t="s">
        <v>66</v>
      </c>
      <c r="H64" t="s">
        <v>54</v>
      </c>
      <c r="I64">
        <v>34</v>
      </c>
      <c r="J64" t="s">
        <v>109</v>
      </c>
      <c r="K64" t="s">
        <v>39</v>
      </c>
      <c r="L64" t="s">
        <v>40</v>
      </c>
      <c r="M64" t="s">
        <v>58</v>
      </c>
      <c r="N64">
        <v>2</v>
      </c>
      <c r="O64">
        <v>800</v>
      </c>
      <c r="P64">
        <v>5</v>
      </c>
      <c r="Q64">
        <v>1520</v>
      </c>
      <c r="R64">
        <v>800</v>
      </c>
      <c r="S64">
        <v>720</v>
      </c>
      <c r="T64" t="s">
        <v>84</v>
      </c>
      <c r="U64">
        <v>5</v>
      </c>
      <c r="V64">
        <v>7</v>
      </c>
      <c r="W64" t="s">
        <v>43</v>
      </c>
      <c r="X64">
        <v>3040</v>
      </c>
      <c r="Y64">
        <v>2025</v>
      </c>
      <c r="Z64">
        <v>5</v>
      </c>
      <c r="AA64">
        <v>13</v>
      </c>
      <c r="AB64" t="s">
        <v>59</v>
      </c>
      <c r="AC64" t="s">
        <v>60</v>
      </c>
      <c r="AD64" t="s">
        <v>96</v>
      </c>
      <c r="AE64" t="s">
        <v>96</v>
      </c>
      <c r="AF64" t="s">
        <v>87</v>
      </c>
    </row>
    <row r="65" spans="1:32" x14ac:dyDescent="0.3">
      <c r="A65">
        <v>1064</v>
      </c>
      <c r="B65" s="2">
        <v>45484</v>
      </c>
      <c r="C65" t="s">
        <v>72</v>
      </c>
      <c r="D65" t="s">
        <v>81</v>
      </c>
      <c r="E65" t="s">
        <v>82</v>
      </c>
      <c r="F65" t="s">
        <v>188</v>
      </c>
      <c r="G65" t="s">
        <v>118</v>
      </c>
      <c r="H65" t="s">
        <v>54</v>
      </c>
      <c r="I65">
        <v>32</v>
      </c>
      <c r="J65" t="s">
        <v>103</v>
      </c>
      <c r="K65" t="s">
        <v>39</v>
      </c>
      <c r="L65" t="s">
        <v>40</v>
      </c>
      <c r="M65" t="s">
        <v>58</v>
      </c>
      <c r="N65">
        <v>1</v>
      </c>
      <c r="O65">
        <v>1200</v>
      </c>
      <c r="P65">
        <v>10</v>
      </c>
      <c r="Q65">
        <v>1080</v>
      </c>
      <c r="R65">
        <v>700</v>
      </c>
      <c r="S65">
        <v>380</v>
      </c>
      <c r="T65" t="s">
        <v>42</v>
      </c>
      <c r="U65">
        <v>2</v>
      </c>
      <c r="V65">
        <v>4</v>
      </c>
      <c r="W65" t="s">
        <v>43</v>
      </c>
      <c r="X65">
        <v>1080</v>
      </c>
      <c r="Y65">
        <v>2024</v>
      </c>
      <c r="Z65">
        <v>7</v>
      </c>
      <c r="AA65">
        <v>11</v>
      </c>
      <c r="AB65" t="s">
        <v>135</v>
      </c>
      <c r="AC65" t="s">
        <v>136</v>
      </c>
      <c r="AD65" t="s">
        <v>70</v>
      </c>
      <c r="AE65" t="s">
        <v>71</v>
      </c>
      <c r="AF65" t="s">
        <v>48</v>
      </c>
    </row>
    <row r="66" spans="1:32" x14ac:dyDescent="0.3">
      <c r="A66">
        <v>1065</v>
      </c>
      <c r="B66" s="2">
        <v>45347</v>
      </c>
      <c r="C66" t="s">
        <v>107</v>
      </c>
      <c r="D66" t="s">
        <v>50</v>
      </c>
      <c r="E66" t="s">
        <v>129</v>
      </c>
      <c r="F66" t="s">
        <v>189</v>
      </c>
      <c r="G66" t="s">
        <v>154</v>
      </c>
      <c r="H66" t="s">
        <v>37</v>
      </c>
      <c r="I66">
        <v>36</v>
      </c>
      <c r="J66" t="s">
        <v>38</v>
      </c>
      <c r="K66" t="s">
        <v>39</v>
      </c>
      <c r="L66" t="s">
        <v>104</v>
      </c>
      <c r="M66" t="s">
        <v>48</v>
      </c>
      <c r="N66">
        <v>3</v>
      </c>
      <c r="O66">
        <v>2000</v>
      </c>
      <c r="P66">
        <v>0</v>
      </c>
      <c r="Q66">
        <v>6000</v>
      </c>
      <c r="R66">
        <v>3600</v>
      </c>
      <c r="S66">
        <v>2400</v>
      </c>
      <c r="T66" t="s">
        <v>42</v>
      </c>
      <c r="U66">
        <v>2</v>
      </c>
      <c r="V66">
        <v>6</v>
      </c>
      <c r="W66" t="s">
        <v>76</v>
      </c>
      <c r="X66">
        <v>18000</v>
      </c>
      <c r="Y66">
        <v>2024</v>
      </c>
      <c r="Z66">
        <v>2</v>
      </c>
      <c r="AA66">
        <v>25</v>
      </c>
      <c r="AB66" t="s">
        <v>44</v>
      </c>
      <c r="AC66" t="s">
        <v>45</v>
      </c>
      <c r="AD66" t="s">
        <v>79</v>
      </c>
      <c r="AE66" t="s">
        <v>80</v>
      </c>
      <c r="AF66" t="s">
        <v>48</v>
      </c>
    </row>
    <row r="67" spans="1:32" x14ac:dyDescent="0.3">
      <c r="A67">
        <v>1066</v>
      </c>
      <c r="B67" s="2">
        <v>45333</v>
      </c>
      <c r="C67" t="s">
        <v>49</v>
      </c>
      <c r="D67" t="s">
        <v>33</v>
      </c>
      <c r="E67" t="s">
        <v>34</v>
      </c>
      <c r="F67" t="s">
        <v>190</v>
      </c>
      <c r="G67" t="s">
        <v>66</v>
      </c>
      <c r="H67" t="s">
        <v>54</v>
      </c>
      <c r="I67">
        <v>57</v>
      </c>
      <c r="J67" t="s">
        <v>55</v>
      </c>
      <c r="K67" t="s">
        <v>56</v>
      </c>
      <c r="L67" t="s">
        <v>104</v>
      </c>
      <c r="M67" t="s">
        <v>58</v>
      </c>
      <c r="N67">
        <v>3</v>
      </c>
      <c r="O67">
        <v>15000</v>
      </c>
      <c r="P67">
        <v>10</v>
      </c>
      <c r="Q67">
        <v>40500</v>
      </c>
      <c r="R67">
        <v>33000</v>
      </c>
      <c r="S67">
        <v>7500</v>
      </c>
      <c r="T67" t="s">
        <v>42</v>
      </c>
      <c r="U67">
        <v>4</v>
      </c>
      <c r="V67">
        <v>8</v>
      </c>
      <c r="W67" t="s">
        <v>43</v>
      </c>
      <c r="X67">
        <v>121500</v>
      </c>
      <c r="Y67">
        <v>2024</v>
      </c>
      <c r="Z67">
        <v>2</v>
      </c>
      <c r="AA67">
        <v>11</v>
      </c>
      <c r="AB67" t="s">
        <v>44</v>
      </c>
      <c r="AC67" t="s">
        <v>45</v>
      </c>
      <c r="AD67" t="s">
        <v>79</v>
      </c>
      <c r="AE67" t="s">
        <v>80</v>
      </c>
      <c r="AF67" t="s">
        <v>48</v>
      </c>
    </row>
    <row r="68" spans="1:32" x14ac:dyDescent="0.3">
      <c r="A68">
        <v>1067</v>
      </c>
      <c r="B68" s="2">
        <v>45849</v>
      </c>
      <c r="C68" t="s">
        <v>49</v>
      </c>
      <c r="D68" t="s">
        <v>101</v>
      </c>
      <c r="E68" t="s">
        <v>51</v>
      </c>
      <c r="F68" t="s">
        <v>191</v>
      </c>
      <c r="G68" t="s">
        <v>118</v>
      </c>
      <c r="H68" t="s">
        <v>54</v>
      </c>
      <c r="I68">
        <v>32</v>
      </c>
      <c r="J68" t="s">
        <v>65</v>
      </c>
      <c r="K68" t="s">
        <v>56</v>
      </c>
      <c r="L68" t="s">
        <v>75</v>
      </c>
      <c r="M68" t="s">
        <v>95</v>
      </c>
      <c r="N68">
        <v>4</v>
      </c>
      <c r="O68">
        <v>55000</v>
      </c>
      <c r="P68">
        <v>15</v>
      </c>
      <c r="Q68">
        <v>187000</v>
      </c>
      <c r="R68">
        <v>168000</v>
      </c>
      <c r="S68">
        <v>19000</v>
      </c>
      <c r="T68" t="s">
        <v>42</v>
      </c>
      <c r="U68">
        <v>2</v>
      </c>
      <c r="V68">
        <v>4</v>
      </c>
      <c r="W68" t="s">
        <v>43</v>
      </c>
      <c r="X68">
        <v>748000</v>
      </c>
      <c r="Y68">
        <v>2025</v>
      </c>
      <c r="Z68">
        <v>7</v>
      </c>
      <c r="AA68">
        <v>11</v>
      </c>
      <c r="AB68" t="s">
        <v>115</v>
      </c>
      <c r="AC68" t="s">
        <v>116</v>
      </c>
      <c r="AD68" t="s">
        <v>70</v>
      </c>
      <c r="AE68" t="s">
        <v>71</v>
      </c>
      <c r="AF68" t="s">
        <v>48</v>
      </c>
    </row>
    <row r="69" spans="1:32" x14ac:dyDescent="0.3">
      <c r="A69">
        <v>1068</v>
      </c>
      <c r="B69" s="2">
        <v>45798</v>
      </c>
      <c r="C69" t="s">
        <v>49</v>
      </c>
      <c r="D69" t="s">
        <v>101</v>
      </c>
      <c r="E69" t="s">
        <v>51</v>
      </c>
      <c r="F69" t="s">
        <v>192</v>
      </c>
      <c r="G69" t="s">
        <v>74</v>
      </c>
      <c r="H69" t="s">
        <v>54</v>
      </c>
      <c r="I69">
        <v>23</v>
      </c>
      <c r="J69" t="s">
        <v>55</v>
      </c>
      <c r="K69" t="s">
        <v>56</v>
      </c>
      <c r="L69" t="s">
        <v>57</v>
      </c>
      <c r="M69" t="s">
        <v>58</v>
      </c>
      <c r="N69">
        <v>3</v>
      </c>
      <c r="O69">
        <v>15000</v>
      </c>
      <c r="P69">
        <v>15</v>
      </c>
      <c r="Q69">
        <v>38250</v>
      </c>
      <c r="R69">
        <v>33000</v>
      </c>
      <c r="S69">
        <v>5250</v>
      </c>
      <c r="T69" t="s">
        <v>84</v>
      </c>
      <c r="U69">
        <v>4</v>
      </c>
      <c r="V69">
        <v>1</v>
      </c>
      <c r="W69" t="s">
        <v>43</v>
      </c>
      <c r="X69">
        <v>114750</v>
      </c>
      <c r="Y69">
        <v>2025</v>
      </c>
      <c r="Z69">
        <v>5</v>
      </c>
      <c r="AA69">
        <v>21</v>
      </c>
      <c r="AB69" t="s">
        <v>68</v>
      </c>
      <c r="AC69" t="s">
        <v>69</v>
      </c>
      <c r="AD69" t="s">
        <v>96</v>
      </c>
      <c r="AE69" t="s">
        <v>96</v>
      </c>
      <c r="AF69" t="s">
        <v>87</v>
      </c>
    </row>
    <row r="70" spans="1:32" x14ac:dyDescent="0.3">
      <c r="A70">
        <v>1069</v>
      </c>
      <c r="B70" s="2">
        <v>45868</v>
      </c>
      <c r="C70" t="s">
        <v>72</v>
      </c>
      <c r="D70" t="s">
        <v>51</v>
      </c>
      <c r="E70" t="s">
        <v>51</v>
      </c>
      <c r="F70" t="s">
        <v>193</v>
      </c>
      <c r="G70" t="s">
        <v>66</v>
      </c>
      <c r="H70" t="s">
        <v>54</v>
      </c>
      <c r="I70">
        <v>21</v>
      </c>
      <c r="J70" t="s">
        <v>38</v>
      </c>
      <c r="K70" t="s">
        <v>39</v>
      </c>
      <c r="L70" t="s">
        <v>57</v>
      </c>
      <c r="M70" t="s">
        <v>41</v>
      </c>
      <c r="N70">
        <v>5</v>
      </c>
      <c r="O70">
        <v>2000</v>
      </c>
      <c r="P70">
        <v>0</v>
      </c>
      <c r="Q70">
        <v>10000</v>
      </c>
      <c r="R70">
        <v>6000</v>
      </c>
      <c r="S70">
        <v>4000</v>
      </c>
      <c r="T70" t="s">
        <v>42</v>
      </c>
      <c r="U70">
        <v>3</v>
      </c>
      <c r="V70">
        <v>1</v>
      </c>
      <c r="W70" t="s">
        <v>43</v>
      </c>
      <c r="X70">
        <v>50000</v>
      </c>
      <c r="Y70">
        <v>2025</v>
      </c>
      <c r="Z70">
        <v>7</v>
      </c>
      <c r="AA70">
        <v>30</v>
      </c>
      <c r="AB70" t="s">
        <v>68</v>
      </c>
      <c r="AC70" t="s">
        <v>69</v>
      </c>
      <c r="AD70" t="s">
        <v>70</v>
      </c>
      <c r="AE70" t="s">
        <v>71</v>
      </c>
      <c r="AF70" t="s">
        <v>48</v>
      </c>
    </row>
    <row r="71" spans="1:32" x14ac:dyDescent="0.3">
      <c r="A71">
        <v>1070</v>
      </c>
      <c r="B71" s="2">
        <v>45831</v>
      </c>
      <c r="C71" t="s">
        <v>49</v>
      </c>
      <c r="D71" t="s">
        <v>81</v>
      </c>
      <c r="E71" t="s">
        <v>82</v>
      </c>
      <c r="F71" t="s">
        <v>194</v>
      </c>
      <c r="G71" t="s">
        <v>66</v>
      </c>
      <c r="H71" t="s">
        <v>54</v>
      </c>
      <c r="I71">
        <v>49</v>
      </c>
      <c r="J71" t="s">
        <v>38</v>
      </c>
      <c r="K71" t="s">
        <v>39</v>
      </c>
      <c r="L71" t="s">
        <v>66</v>
      </c>
      <c r="M71" t="s">
        <v>41</v>
      </c>
      <c r="N71">
        <v>3</v>
      </c>
      <c r="O71">
        <v>2000</v>
      </c>
      <c r="P71">
        <v>5</v>
      </c>
      <c r="Q71">
        <v>5700</v>
      </c>
      <c r="R71">
        <v>3600</v>
      </c>
      <c r="S71">
        <v>2100</v>
      </c>
      <c r="T71" t="s">
        <v>67</v>
      </c>
      <c r="U71">
        <v>5</v>
      </c>
      <c r="V71">
        <v>5</v>
      </c>
      <c r="W71" t="s">
        <v>43</v>
      </c>
      <c r="X71">
        <v>17100</v>
      </c>
      <c r="Y71">
        <v>2025</v>
      </c>
      <c r="Z71">
        <v>6</v>
      </c>
      <c r="AA71">
        <v>23</v>
      </c>
      <c r="AB71" t="s">
        <v>110</v>
      </c>
      <c r="AC71" t="s">
        <v>111</v>
      </c>
      <c r="AD71" t="s">
        <v>85</v>
      </c>
      <c r="AE71" t="s">
        <v>86</v>
      </c>
      <c r="AF71" t="s">
        <v>48</v>
      </c>
    </row>
    <row r="72" spans="1:32" x14ac:dyDescent="0.3">
      <c r="A72">
        <v>1071</v>
      </c>
      <c r="B72" s="2">
        <v>45690</v>
      </c>
      <c r="C72" t="s">
        <v>107</v>
      </c>
      <c r="D72" t="s">
        <v>81</v>
      </c>
      <c r="E72" t="s">
        <v>82</v>
      </c>
      <c r="F72" t="s">
        <v>195</v>
      </c>
      <c r="G72" t="s">
        <v>92</v>
      </c>
      <c r="H72" t="s">
        <v>37</v>
      </c>
      <c r="I72">
        <v>32</v>
      </c>
      <c r="J72" t="s">
        <v>109</v>
      </c>
      <c r="K72" t="s">
        <v>39</v>
      </c>
      <c r="L72" t="s">
        <v>104</v>
      </c>
      <c r="M72" t="s">
        <v>41</v>
      </c>
      <c r="N72">
        <v>3</v>
      </c>
      <c r="O72">
        <v>800</v>
      </c>
      <c r="P72">
        <v>0</v>
      </c>
      <c r="Q72">
        <v>2400</v>
      </c>
      <c r="R72">
        <v>1200</v>
      </c>
      <c r="S72">
        <v>1200</v>
      </c>
      <c r="T72" t="s">
        <v>67</v>
      </c>
      <c r="U72">
        <v>2</v>
      </c>
      <c r="V72">
        <v>3</v>
      </c>
      <c r="W72" t="s">
        <v>76</v>
      </c>
      <c r="X72">
        <v>7200</v>
      </c>
      <c r="Y72">
        <v>2025</v>
      </c>
      <c r="Z72">
        <v>2</v>
      </c>
      <c r="AA72">
        <v>2</v>
      </c>
      <c r="AB72" t="s">
        <v>44</v>
      </c>
      <c r="AC72" t="s">
        <v>45</v>
      </c>
      <c r="AD72" t="s">
        <v>79</v>
      </c>
      <c r="AE72" t="s">
        <v>80</v>
      </c>
      <c r="AF72" t="s">
        <v>48</v>
      </c>
    </row>
    <row r="73" spans="1:32" x14ac:dyDescent="0.3">
      <c r="A73">
        <v>1072</v>
      </c>
      <c r="B73" s="2">
        <v>45625</v>
      </c>
      <c r="C73" t="s">
        <v>72</v>
      </c>
      <c r="D73" t="s">
        <v>33</v>
      </c>
      <c r="E73" t="s">
        <v>34</v>
      </c>
      <c r="F73" t="s">
        <v>196</v>
      </c>
      <c r="G73" t="s">
        <v>154</v>
      </c>
      <c r="H73" t="s">
        <v>54</v>
      </c>
      <c r="I73">
        <v>51</v>
      </c>
      <c r="J73" t="s">
        <v>103</v>
      </c>
      <c r="K73" t="s">
        <v>39</v>
      </c>
      <c r="L73" t="s">
        <v>75</v>
      </c>
      <c r="M73" t="s">
        <v>95</v>
      </c>
      <c r="N73">
        <v>5</v>
      </c>
      <c r="O73">
        <v>1200</v>
      </c>
      <c r="P73">
        <v>5</v>
      </c>
      <c r="Q73">
        <v>5700</v>
      </c>
      <c r="R73">
        <v>3500</v>
      </c>
      <c r="S73">
        <v>2200</v>
      </c>
      <c r="T73" t="s">
        <v>67</v>
      </c>
      <c r="U73">
        <v>2</v>
      </c>
      <c r="V73">
        <v>8</v>
      </c>
      <c r="W73" t="s">
        <v>76</v>
      </c>
      <c r="X73">
        <v>28500</v>
      </c>
      <c r="Y73">
        <v>2024</v>
      </c>
      <c r="Z73">
        <v>11</v>
      </c>
      <c r="AA73">
        <v>29</v>
      </c>
      <c r="AB73" t="s">
        <v>115</v>
      </c>
      <c r="AC73" t="s">
        <v>116</v>
      </c>
      <c r="AD73" t="s">
        <v>137</v>
      </c>
      <c r="AE73" t="s">
        <v>138</v>
      </c>
      <c r="AF73" t="s">
        <v>48</v>
      </c>
    </row>
    <row r="74" spans="1:32" x14ac:dyDescent="0.3">
      <c r="A74">
        <v>1073</v>
      </c>
      <c r="B74" s="2">
        <v>45644</v>
      </c>
      <c r="C74" t="s">
        <v>32</v>
      </c>
      <c r="D74" t="s">
        <v>51</v>
      </c>
      <c r="E74" t="s">
        <v>51</v>
      </c>
      <c r="F74" t="s">
        <v>197</v>
      </c>
      <c r="G74" t="s">
        <v>169</v>
      </c>
      <c r="H74" t="s">
        <v>54</v>
      </c>
      <c r="I74">
        <v>20</v>
      </c>
      <c r="J74" t="s">
        <v>109</v>
      </c>
      <c r="K74" t="s">
        <v>39</v>
      </c>
      <c r="L74" t="s">
        <v>104</v>
      </c>
      <c r="M74" t="s">
        <v>48</v>
      </c>
      <c r="N74">
        <v>5</v>
      </c>
      <c r="O74">
        <v>800</v>
      </c>
      <c r="P74">
        <v>0</v>
      </c>
      <c r="Q74">
        <v>4000</v>
      </c>
      <c r="R74">
        <v>2000</v>
      </c>
      <c r="S74">
        <v>2000</v>
      </c>
      <c r="T74" t="s">
        <v>105</v>
      </c>
      <c r="U74">
        <v>5</v>
      </c>
      <c r="V74">
        <v>7</v>
      </c>
      <c r="W74" t="s">
        <v>76</v>
      </c>
      <c r="X74">
        <v>20000</v>
      </c>
      <c r="Y74">
        <v>2024</v>
      </c>
      <c r="Z74">
        <v>12</v>
      </c>
      <c r="AA74">
        <v>18</v>
      </c>
      <c r="AB74" t="s">
        <v>68</v>
      </c>
      <c r="AC74" t="s">
        <v>69</v>
      </c>
      <c r="AD74" t="s">
        <v>112</v>
      </c>
      <c r="AE74" t="s">
        <v>113</v>
      </c>
      <c r="AF74" t="s">
        <v>106</v>
      </c>
    </row>
    <row r="75" spans="1:32" x14ac:dyDescent="0.3">
      <c r="A75">
        <v>1074</v>
      </c>
      <c r="B75" s="2">
        <v>45836</v>
      </c>
      <c r="C75" t="s">
        <v>49</v>
      </c>
      <c r="D75" t="s">
        <v>101</v>
      </c>
      <c r="E75" t="s">
        <v>51</v>
      </c>
      <c r="F75" t="s">
        <v>198</v>
      </c>
      <c r="G75" t="s">
        <v>123</v>
      </c>
      <c r="H75" t="s">
        <v>37</v>
      </c>
      <c r="I75">
        <v>59</v>
      </c>
      <c r="J75" t="s">
        <v>90</v>
      </c>
      <c r="K75" t="s">
        <v>56</v>
      </c>
      <c r="L75" t="s">
        <v>66</v>
      </c>
      <c r="M75" t="s">
        <v>58</v>
      </c>
      <c r="N75">
        <v>3</v>
      </c>
      <c r="O75">
        <v>25000</v>
      </c>
      <c r="P75">
        <v>15</v>
      </c>
      <c r="Q75">
        <v>63750</v>
      </c>
      <c r="R75">
        <v>54000</v>
      </c>
      <c r="S75">
        <v>9750</v>
      </c>
      <c r="T75" t="s">
        <v>105</v>
      </c>
      <c r="U75">
        <v>5</v>
      </c>
      <c r="V75">
        <v>7</v>
      </c>
      <c r="W75" t="s">
        <v>76</v>
      </c>
      <c r="X75">
        <v>191250</v>
      </c>
      <c r="Y75">
        <v>2025</v>
      </c>
      <c r="Z75">
        <v>6</v>
      </c>
      <c r="AA75">
        <v>28</v>
      </c>
      <c r="AB75" t="s">
        <v>77</v>
      </c>
      <c r="AC75" t="s">
        <v>78</v>
      </c>
      <c r="AD75" t="s">
        <v>85</v>
      </c>
      <c r="AE75" t="s">
        <v>86</v>
      </c>
      <c r="AF75" t="s">
        <v>106</v>
      </c>
    </row>
    <row r="76" spans="1:32" x14ac:dyDescent="0.3">
      <c r="A76">
        <v>1075</v>
      </c>
      <c r="B76" s="2">
        <v>45991</v>
      </c>
      <c r="C76" t="s">
        <v>72</v>
      </c>
      <c r="D76" t="s">
        <v>50</v>
      </c>
      <c r="E76" t="s">
        <v>51</v>
      </c>
      <c r="F76" t="s">
        <v>199</v>
      </c>
      <c r="G76" t="s">
        <v>36</v>
      </c>
      <c r="H76" t="s">
        <v>54</v>
      </c>
      <c r="I76">
        <v>35</v>
      </c>
      <c r="J76" t="s">
        <v>98</v>
      </c>
      <c r="K76" t="s">
        <v>56</v>
      </c>
      <c r="L76" t="s">
        <v>124</v>
      </c>
      <c r="M76" t="s">
        <v>48</v>
      </c>
      <c r="N76">
        <v>3</v>
      </c>
      <c r="O76">
        <v>10000</v>
      </c>
      <c r="P76">
        <v>10</v>
      </c>
      <c r="Q76">
        <v>27000</v>
      </c>
      <c r="R76">
        <v>22500</v>
      </c>
      <c r="S76">
        <v>4500</v>
      </c>
      <c r="T76" t="s">
        <v>67</v>
      </c>
      <c r="U76">
        <v>5</v>
      </c>
      <c r="V76">
        <v>2</v>
      </c>
      <c r="W76" t="s">
        <v>76</v>
      </c>
      <c r="X76">
        <v>81000</v>
      </c>
      <c r="Y76">
        <v>2025</v>
      </c>
      <c r="Z76">
        <v>11</v>
      </c>
      <c r="AA76">
        <v>30</v>
      </c>
      <c r="AB76" t="s">
        <v>44</v>
      </c>
      <c r="AC76" t="s">
        <v>45</v>
      </c>
      <c r="AD76" t="s">
        <v>137</v>
      </c>
      <c r="AE76" t="s">
        <v>138</v>
      </c>
      <c r="AF76" t="s">
        <v>48</v>
      </c>
    </row>
    <row r="77" spans="1:32" x14ac:dyDescent="0.3">
      <c r="A77">
        <v>1076</v>
      </c>
      <c r="B77" s="2">
        <v>45738</v>
      </c>
      <c r="C77" t="s">
        <v>49</v>
      </c>
      <c r="D77" t="s">
        <v>33</v>
      </c>
      <c r="E77" t="s">
        <v>34</v>
      </c>
      <c r="F77" t="s">
        <v>200</v>
      </c>
      <c r="G77" t="s">
        <v>53</v>
      </c>
      <c r="H77" t="s">
        <v>37</v>
      </c>
      <c r="I77">
        <v>28</v>
      </c>
      <c r="J77" t="s">
        <v>134</v>
      </c>
      <c r="K77" t="s">
        <v>56</v>
      </c>
      <c r="L77" t="s">
        <v>40</v>
      </c>
      <c r="M77" t="s">
        <v>58</v>
      </c>
      <c r="N77">
        <v>3</v>
      </c>
      <c r="O77">
        <v>30000</v>
      </c>
      <c r="P77">
        <v>15</v>
      </c>
      <c r="Q77">
        <v>76500</v>
      </c>
      <c r="R77">
        <v>66000</v>
      </c>
      <c r="S77">
        <v>10500</v>
      </c>
      <c r="T77" t="s">
        <v>67</v>
      </c>
      <c r="U77">
        <v>1</v>
      </c>
      <c r="V77">
        <v>6</v>
      </c>
      <c r="W77" t="s">
        <v>76</v>
      </c>
      <c r="X77">
        <v>229500</v>
      </c>
      <c r="Y77">
        <v>2025</v>
      </c>
      <c r="Z77">
        <v>3</v>
      </c>
      <c r="AA77">
        <v>22</v>
      </c>
      <c r="AB77" t="s">
        <v>77</v>
      </c>
      <c r="AC77" t="s">
        <v>78</v>
      </c>
      <c r="AD77" t="s">
        <v>99</v>
      </c>
      <c r="AE77" t="s">
        <v>100</v>
      </c>
      <c r="AF77" t="s">
        <v>48</v>
      </c>
    </row>
    <row r="78" spans="1:32" x14ac:dyDescent="0.3">
      <c r="A78">
        <v>1077</v>
      </c>
      <c r="B78" s="2">
        <v>45637</v>
      </c>
      <c r="C78" t="s">
        <v>107</v>
      </c>
      <c r="D78" t="s">
        <v>51</v>
      </c>
      <c r="E78" t="s">
        <v>51</v>
      </c>
      <c r="F78" t="s">
        <v>201</v>
      </c>
      <c r="G78" t="s">
        <v>154</v>
      </c>
      <c r="H78" t="s">
        <v>37</v>
      </c>
      <c r="I78">
        <v>41</v>
      </c>
      <c r="J78" t="s">
        <v>134</v>
      </c>
      <c r="K78" t="s">
        <v>56</v>
      </c>
      <c r="L78" t="s">
        <v>124</v>
      </c>
      <c r="M78" t="s">
        <v>58</v>
      </c>
      <c r="N78">
        <v>5</v>
      </c>
      <c r="O78">
        <v>30000</v>
      </c>
      <c r="P78">
        <v>10</v>
      </c>
      <c r="Q78">
        <v>135000</v>
      </c>
      <c r="R78">
        <v>110000</v>
      </c>
      <c r="S78">
        <v>25000</v>
      </c>
      <c r="T78" t="s">
        <v>42</v>
      </c>
      <c r="U78">
        <v>3</v>
      </c>
      <c r="V78">
        <v>3</v>
      </c>
      <c r="W78" t="s">
        <v>43</v>
      </c>
      <c r="X78">
        <v>675000</v>
      </c>
      <c r="Y78">
        <v>2024</v>
      </c>
      <c r="Z78">
        <v>12</v>
      </c>
      <c r="AA78">
        <v>11</v>
      </c>
      <c r="AB78" t="s">
        <v>68</v>
      </c>
      <c r="AC78" t="s">
        <v>69</v>
      </c>
      <c r="AD78" t="s">
        <v>112</v>
      </c>
      <c r="AE78" t="s">
        <v>113</v>
      </c>
      <c r="AF78" t="s">
        <v>48</v>
      </c>
    </row>
    <row r="79" spans="1:32" x14ac:dyDescent="0.3">
      <c r="A79">
        <v>1078</v>
      </c>
      <c r="B79" s="2">
        <v>45907</v>
      </c>
      <c r="C79" t="s">
        <v>107</v>
      </c>
      <c r="D79" t="s">
        <v>101</v>
      </c>
      <c r="E79" t="s">
        <v>127</v>
      </c>
      <c r="F79" t="s">
        <v>202</v>
      </c>
      <c r="G79" t="s">
        <v>36</v>
      </c>
      <c r="H79" t="s">
        <v>37</v>
      </c>
      <c r="I79">
        <v>57</v>
      </c>
      <c r="J79" t="s">
        <v>103</v>
      </c>
      <c r="K79" t="s">
        <v>39</v>
      </c>
      <c r="L79" t="s">
        <v>140</v>
      </c>
      <c r="M79" t="s">
        <v>41</v>
      </c>
      <c r="N79">
        <v>1</v>
      </c>
      <c r="O79">
        <v>1200</v>
      </c>
      <c r="P79">
        <v>15</v>
      </c>
      <c r="Q79">
        <v>1020</v>
      </c>
      <c r="R79">
        <v>700</v>
      </c>
      <c r="S79">
        <v>320</v>
      </c>
      <c r="T79" t="s">
        <v>42</v>
      </c>
      <c r="U79">
        <v>5</v>
      </c>
      <c r="V79">
        <v>5</v>
      </c>
      <c r="W79" t="s">
        <v>76</v>
      </c>
      <c r="X79">
        <v>1020</v>
      </c>
      <c r="Y79">
        <v>2025</v>
      </c>
      <c r="Z79">
        <v>9</v>
      </c>
      <c r="AA79">
        <v>7</v>
      </c>
      <c r="AB79" t="s">
        <v>44</v>
      </c>
      <c r="AC79" t="s">
        <v>45</v>
      </c>
      <c r="AD79" t="s">
        <v>46</v>
      </c>
      <c r="AE79" t="s">
        <v>47</v>
      </c>
      <c r="AF79" t="s">
        <v>48</v>
      </c>
    </row>
    <row r="80" spans="1:32" x14ac:dyDescent="0.3">
      <c r="A80">
        <v>1079</v>
      </c>
      <c r="B80" s="2">
        <v>45912</v>
      </c>
      <c r="C80" t="s">
        <v>72</v>
      </c>
      <c r="D80" t="s">
        <v>81</v>
      </c>
      <c r="E80" t="s">
        <v>82</v>
      </c>
      <c r="F80" t="s">
        <v>203</v>
      </c>
      <c r="G80" t="s">
        <v>94</v>
      </c>
      <c r="H80" t="s">
        <v>37</v>
      </c>
      <c r="I80">
        <v>34</v>
      </c>
      <c r="J80" t="s">
        <v>38</v>
      </c>
      <c r="K80" t="s">
        <v>39</v>
      </c>
      <c r="L80" t="s">
        <v>64</v>
      </c>
      <c r="M80" t="s">
        <v>48</v>
      </c>
      <c r="N80">
        <v>5</v>
      </c>
      <c r="O80">
        <v>2000</v>
      </c>
      <c r="P80">
        <v>5</v>
      </c>
      <c r="Q80">
        <v>9500</v>
      </c>
      <c r="R80">
        <v>6000</v>
      </c>
      <c r="S80">
        <v>3500</v>
      </c>
      <c r="T80" t="s">
        <v>84</v>
      </c>
      <c r="U80">
        <v>1</v>
      </c>
      <c r="V80">
        <v>5</v>
      </c>
      <c r="W80" t="s">
        <v>76</v>
      </c>
      <c r="X80">
        <v>47500</v>
      </c>
      <c r="Y80">
        <v>2025</v>
      </c>
      <c r="Z80">
        <v>9</v>
      </c>
      <c r="AA80">
        <v>12</v>
      </c>
      <c r="AB80" t="s">
        <v>115</v>
      </c>
      <c r="AC80" t="s">
        <v>116</v>
      </c>
      <c r="AD80" t="s">
        <v>46</v>
      </c>
      <c r="AE80" t="s">
        <v>47</v>
      </c>
      <c r="AF80" t="s">
        <v>87</v>
      </c>
    </row>
    <row r="81" spans="1:32" x14ac:dyDescent="0.3">
      <c r="A81">
        <v>1080</v>
      </c>
      <c r="B81" s="2">
        <v>45378</v>
      </c>
      <c r="C81" t="s">
        <v>72</v>
      </c>
      <c r="D81" t="s">
        <v>50</v>
      </c>
      <c r="E81" t="s">
        <v>129</v>
      </c>
      <c r="F81" t="s">
        <v>204</v>
      </c>
      <c r="G81" t="s">
        <v>64</v>
      </c>
      <c r="H81" t="s">
        <v>37</v>
      </c>
      <c r="I81">
        <v>60</v>
      </c>
      <c r="J81" t="s">
        <v>98</v>
      </c>
      <c r="K81" t="s">
        <v>56</v>
      </c>
      <c r="L81" t="s">
        <v>140</v>
      </c>
      <c r="M81" t="s">
        <v>95</v>
      </c>
      <c r="N81">
        <v>3</v>
      </c>
      <c r="O81">
        <v>10000</v>
      </c>
      <c r="P81">
        <v>5</v>
      </c>
      <c r="Q81">
        <v>28500</v>
      </c>
      <c r="R81">
        <v>22500</v>
      </c>
      <c r="S81">
        <v>6000</v>
      </c>
      <c r="T81" t="s">
        <v>42</v>
      </c>
      <c r="U81">
        <v>3</v>
      </c>
      <c r="V81">
        <v>3</v>
      </c>
      <c r="W81" t="s">
        <v>43</v>
      </c>
      <c r="X81">
        <v>85500</v>
      </c>
      <c r="Y81">
        <v>2024</v>
      </c>
      <c r="Z81">
        <v>3</v>
      </c>
      <c r="AA81">
        <v>27</v>
      </c>
      <c r="AB81" t="s">
        <v>68</v>
      </c>
      <c r="AC81" t="s">
        <v>69</v>
      </c>
      <c r="AD81" t="s">
        <v>99</v>
      </c>
      <c r="AE81" t="s">
        <v>100</v>
      </c>
      <c r="AF81" t="s">
        <v>48</v>
      </c>
    </row>
    <row r="82" spans="1:32" x14ac:dyDescent="0.3">
      <c r="A82">
        <v>1081</v>
      </c>
      <c r="B82" s="2">
        <v>45473</v>
      </c>
      <c r="C82" t="s">
        <v>49</v>
      </c>
      <c r="D82" t="s">
        <v>51</v>
      </c>
      <c r="E82" t="s">
        <v>51</v>
      </c>
      <c r="F82" t="s">
        <v>205</v>
      </c>
      <c r="G82" t="s">
        <v>64</v>
      </c>
      <c r="H82" t="s">
        <v>37</v>
      </c>
      <c r="I82">
        <v>22</v>
      </c>
      <c r="J82" t="s">
        <v>90</v>
      </c>
      <c r="K82" t="s">
        <v>56</v>
      </c>
      <c r="L82" t="s">
        <v>57</v>
      </c>
      <c r="M82" t="s">
        <v>41</v>
      </c>
      <c r="N82">
        <v>2</v>
      </c>
      <c r="O82">
        <v>25000</v>
      </c>
      <c r="P82">
        <v>5</v>
      </c>
      <c r="Q82">
        <v>47500</v>
      </c>
      <c r="R82">
        <v>36000</v>
      </c>
      <c r="S82">
        <v>11500</v>
      </c>
      <c r="T82" t="s">
        <v>67</v>
      </c>
      <c r="U82">
        <v>1</v>
      </c>
      <c r="V82">
        <v>1</v>
      </c>
      <c r="W82" t="s">
        <v>76</v>
      </c>
      <c r="X82">
        <v>95000</v>
      </c>
      <c r="Y82">
        <v>2024</v>
      </c>
      <c r="Z82">
        <v>6</v>
      </c>
      <c r="AA82">
        <v>30</v>
      </c>
      <c r="AB82" t="s">
        <v>44</v>
      </c>
      <c r="AC82" t="s">
        <v>45</v>
      </c>
      <c r="AD82" t="s">
        <v>85</v>
      </c>
      <c r="AE82" t="s">
        <v>86</v>
      </c>
      <c r="AF82" t="s">
        <v>48</v>
      </c>
    </row>
    <row r="83" spans="1:32" x14ac:dyDescent="0.3">
      <c r="A83">
        <v>1082</v>
      </c>
      <c r="B83" s="2">
        <v>45566</v>
      </c>
      <c r="C83" t="s">
        <v>49</v>
      </c>
      <c r="D83" t="s">
        <v>51</v>
      </c>
      <c r="E83" t="s">
        <v>51</v>
      </c>
      <c r="F83" t="s">
        <v>206</v>
      </c>
      <c r="G83" t="s">
        <v>169</v>
      </c>
      <c r="H83" t="s">
        <v>37</v>
      </c>
      <c r="I83">
        <v>57</v>
      </c>
      <c r="J83" t="s">
        <v>98</v>
      </c>
      <c r="K83" t="s">
        <v>56</v>
      </c>
      <c r="L83" t="s">
        <v>124</v>
      </c>
      <c r="M83" t="s">
        <v>48</v>
      </c>
      <c r="N83">
        <v>1</v>
      </c>
      <c r="O83">
        <v>10000</v>
      </c>
      <c r="P83">
        <v>5</v>
      </c>
      <c r="Q83">
        <v>9500</v>
      </c>
      <c r="R83">
        <v>7500</v>
      </c>
      <c r="S83">
        <v>2000</v>
      </c>
      <c r="T83" t="s">
        <v>105</v>
      </c>
      <c r="U83">
        <v>3</v>
      </c>
      <c r="V83">
        <v>2</v>
      </c>
      <c r="W83" t="s">
        <v>76</v>
      </c>
      <c r="X83">
        <v>9500</v>
      </c>
      <c r="Y83">
        <v>2024</v>
      </c>
      <c r="Z83">
        <v>10</v>
      </c>
      <c r="AA83">
        <v>1</v>
      </c>
      <c r="AB83" t="s">
        <v>59</v>
      </c>
      <c r="AC83" t="s">
        <v>60</v>
      </c>
      <c r="AD83" t="s">
        <v>125</v>
      </c>
      <c r="AE83" t="s">
        <v>126</v>
      </c>
      <c r="AF83" t="s">
        <v>106</v>
      </c>
    </row>
    <row r="84" spans="1:32" x14ac:dyDescent="0.3">
      <c r="A84">
        <v>1083</v>
      </c>
      <c r="B84" s="2">
        <v>45826</v>
      </c>
      <c r="C84" t="s">
        <v>107</v>
      </c>
      <c r="D84" t="s">
        <v>81</v>
      </c>
      <c r="E84" t="s">
        <v>82</v>
      </c>
      <c r="F84" t="s">
        <v>207</v>
      </c>
      <c r="G84" t="s">
        <v>169</v>
      </c>
      <c r="H84" t="s">
        <v>54</v>
      </c>
      <c r="I84">
        <v>34</v>
      </c>
      <c r="J84" t="s">
        <v>55</v>
      </c>
      <c r="K84" t="s">
        <v>56</v>
      </c>
      <c r="L84" t="s">
        <v>104</v>
      </c>
      <c r="M84" t="s">
        <v>41</v>
      </c>
      <c r="N84">
        <v>5</v>
      </c>
      <c r="O84">
        <v>15000</v>
      </c>
      <c r="P84">
        <v>0</v>
      </c>
      <c r="Q84">
        <v>75000</v>
      </c>
      <c r="R84">
        <v>55000</v>
      </c>
      <c r="S84">
        <v>20000</v>
      </c>
      <c r="T84" t="s">
        <v>67</v>
      </c>
      <c r="U84">
        <v>5</v>
      </c>
      <c r="V84">
        <v>1</v>
      </c>
      <c r="W84" t="s">
        <v>43</v>
      </c>
      <c r="X84">
        <v>375000</v>
      </c>
      <c r="Y84">
        <v>2025</v>
      </c>
      <c r="Z84">
        <v>6</v>
      </c>
      <c r="AA84">
        <v>18</v>
      </c>
      <c r="AB84" t="s">
        <v>68</v>
      </c>
      <c r="AC84" t="s">
        <v>69</v>
      </c>
      <c r="AD84" t="s">
        <v>85</v>
      </c>
      <c r="AE84" t="s">
        <v>86</v>
      </c>
      <c r="AF84" t="s">
        <v>48</v>
      </c>
    </row>
    <row r="85" spans="1:32" x14ac:dyDescent="0.3">
      <c r="A85">
        <v>1084</v>
      </c>
      <c r="B85" s="2">
        <v>45912</v>
      </c>
      <c r="C85" t="s">
        <v>49</v>
      </c>
      <c r="D85" t="s">
        <v>33</v>
      </c>
      <c r="E85" t="s">
        <v>34</v>
      </c>
      <c r="F85" t="s">
        <v>208</v>
      </c>
      <c r="G85" t="s">
        <v>92</v>
      </c>
      <c r="H85" t="s">
        <v>54</v>
      </c>
      <c r="I85">
        <v>27</v>
      </c>
      <c r="J85" t="s">
        <v>90</v>
      </c>
      <c r="K85" t="s">
        <v>56</v>
      </c>
      <c r="L85" t="s">
        <v>124</v>
      </c>
      <c r="M85" t="s">
        <v>95</v>
      </c>
      <c r="N85">
        <v>3</v>
      </c>
      <c r="O85">
        <v>25000</v>
      </c>
      <c r="P85">
        <v>10</v>
      </c>
      <c r="Q85">
        <v>67500</v>
      </c>
      <c r="R85">
        <v>54000</v>
      </c>
      <c r="S85">
        <v>13500</v>
      </c>
      <c r="T85" t="s">
        <v>67</v>
      </c>
      <c r="U85">
        <v>4</v>
      </c>
      <c r="V85">
        <v>5</v>
      </c>
      <c r="W85" t="s">
        <v>43</v>
      </c>
      <c r="X85">
        <v>202500</v>
      </c>
      <c r="Y85">
        <v>2025</v>
      </c>
      <c r="Z85">
        <v>9</v>
      </c>
      <c r="AA85">
        <v>12</v>
      </c>
      <c r="AB85" t="s">
        <v>115</v>
      </c>
      <c r="AC85" t="s">
        <v>116</v>
      </c>
      <c r="AD85" t="s">
        <v>46</v>
      </c>
      <c r="AE85" t="s">
        <v>47</v>
      </c>
      <c r="AF85" t="s">
        <v>48</v>
      </c>
    </row>
    <row r="86" spans="1:32" x14ac:dyDescent="0.3">
      <c r="A86">
        <v>1085</v>
      </c>
      <c r="B86" s="2">
        <v>45872</v>
      </c>
      <c r="C86" t="s">
        <v>32</v>
      </c>
      <c r="D86" t="s">
        <v>51</v>
      </c>
      <c r="E86" t="s">
        <v>51</v>
      </c>
      <c r="F86" t="s">
        <v>209</v>
      </c>
      <c r="G86" t="s">
        <v>169</v>
      </c>
      <c r="H86" t="s">
        <v>37</v>
      </c>
      <c r="I86">
        <v>24</v>
      </c>
      <c r="J86" t="s">
        <v>109</v>
      </c>
      <c r="K86" t="s">
        <v>39</v>
      </c>
      <c r="L86" t="s">
        <v>64</v>
      </c>
      <c r="M86" t="s">
        <v>58</v>
      </c>
      <c r="N86">
        <v>5</v>
      </c>
      <c r="O86">
        <v>800</v>
      </c>
      <c r="P86">
        <v>10</v>
      </c>
      <c r="Q86">
        <v>3600</v>
      </c>
      <c r="R86">
        <v>2000</v>
      </c>
      <c r="S86">
        <v>1600</v>
      </c>
      <c r="T86" t="s">
        <v>67</v>
      </c>
      <c r="U86">
        <v>1</v>
      </c>
      <c r="V86">
        <v>3</v>
      </c>
      <c r="W86" t="s">
        <v>76</v>
      </c>
      <c r="X86">
        <v>18000</v>
      </c>
      <c r="Y86">
        <v>2025</v>
      </c>
      <c r="Z86">
        <v>8</v>
      </c>
      <c r="AA86">
        <v>3</v>
      </c>
      <c r="AB86" t="s">
        <v>44</v>
      </c>
      <c r="AC86" t="s">
        <v>45</v>
      </c>
      <c r="AD86" t="s">
        <v>61</v>
      </c>
      <c r="AE86" t="s">
        <v>62</v>
      </c>
      <c r="AF86" t="s">
        <v>48</v>
      </c>
    </row>
    <row r="87" spans="1:32" x14ac:dyDescent="0.3">
      <c r="A87">
        <v>1086</v>
      </c>
      <c r="B87" s="2">
        <v>46007</v>
      </c>
      <c r="C87" t="s">
        <v>107</v>
      </c>
      <c r="D87" t="s">
        <v>81</v>
      </c>
      <c r="E87" t="s">
        <v>82</v>
      </c>
      <c r="F87" t="s">
        <v>210</v>
      </c>
      <c r="G87" t="s">
        <v>89</v>
      </c>
      <c r="H87" t="s">
        <v>54</v>
      </c>
      <c r="I87">
        <v>38</v>
      </c>
      <c r="J87" t="s">
        <v>90</v>
      </c>
      <c r="K87" t="s">
        <v>56</v>
      </c>
      <c r="L87" t="s">
        <v>64</v>
      </c>
      <c r="M87" t="s">
        <v>95</v>
      </c>
      <c r="N87">
        <v>5</v>
      </c>
      <c r="O87">
        <v>25000</v>
      </c>
      <c r="P87">
        <v>15</v>
      </c>
      <c r="Q87">
        <v>106250</v>
      </c>
      <c r="R87">
        <v>90000</v>
      </c>
      <c r="S87">
        <v>16250</v>
      </c>
      <c r="T87" t="s">
        <v>42</v>
      </c>
      <c r="U87">
        <v>4</v>
      </c>
      <c r="V87">
        <v>4</v>
      </c>
      <c r="W87" t="s">
        <v>76</v>
      </c>
      <c r="X87">
        <v>531250</v>
      </c>
      <c r="Y87">
        <v>2025</v>
      </c>
      <c r="Z87">
        <v>12</v>
      </c>
      <c r="AA87">
        <v>16</v>
      </c>
      <c r="AB87" t="s">
        <v>59</v>
      </c>
      <c r="AC87" t="s">
        <v>60</v>
      </c>
      <c r="AD87" t="s">
        <v>112</v>
      </c>
      <c r="AE87" t="s">
        <v>113</v>
      </c>
      <c r="AF87" t="s">
        <v>48</v>
      </c>
    </row>
    <row r="88" spans="1:32" x14ac:dyDescent="0.3">
      <c r="A88">
        <v>1087</v>
      </c>
      <c r="B88" s="2">
        <v>45496</v>
      </c>
      <c r="C88" t="s">
        <v>107</v>
      </c>
      <c r="D88" t="s">
        <v>81</v>
      </c>
      <c r="E88" t="s">
        <v>145</v>
      </c>
      <c r="F88" t="s">
        <v>211</v>
      </c>
      <c r="G88" t="s">
        <v>64</v>
      </c>
      <c r="H88" t="s">
        <v>37</v>
      </c>
      <c r="I88">
        <v>59</v>
      </c>
      <c r="J88" t="s">
        <v>98</v>
      </c>
      <c r="K88" t="s">
        <v>56</v>
      </c>
      <c r="L88" t="s">
        <v>140</v>
      </c>
      <c r="M88" t="s">
        <v>48</v>
      </c>
      <c r="N88">
        <v>3</v>
      </c>
      <c r="O88">
        <v>10000</v>
      </c>
      <c r="P88">
        <v>15</v>
      </c>
      <c r="Q88">
        <v>25500</v>
      </c>
      <c r="R88">
        <v>22500</v>
      </c>
      <c r="S88">
        <v>3000</v>
      </c>
      <c r="T88" t="s">
        <v>105</v>
      </c>
      <c r="U88">
        <v>3</v>
      </c>
      <c r="V88">
        <v>4</v>
      </c>
      <c r="W88" t="s">
        <v>76</v>
      </c>
      <c r="X88">
        <v>76500</v>
      </c>
      <c r="Y88">
        <v>2024</v>
      </c>
      <c r="Z88">
        <v>7</v>
      </c>
      <c r="AA88">
        <v>23</v>
      </c>
      <c r="AB88" t="s">
        <v>59</v>
      </c>
      <c r="AC88" t="s">
        <v>60</v>
      </c>
      <c r="AD88" t="s">
        <v>70</v>
      </c>
      <c r="AE88" t="s">
        <v>71</v>
      </c>
      <c r="AF88" t="s">
        <v>106</v>
      </c>
    </row>
    <row r="89" spans="1:32" x14ac:dyDescent="0.3">
      <c r="A89">
        <v>1088</v>
      </c>
      <c r="B89" s="2">
        <v>45896</v>
      </c>
      <c r="C89" t="s">
        <v>32</v>
      </c>
      <c r="D89" t="s">
        <v>51</v>
      </c>
      <c r="E89" t="s">
        <v>51</v>
      </c>
      <c r="F89" t="s">
        <v>212</v>
      </c>
      <c r="G89" t="s">
        <v>123</v>
      </c>
      <c r="H89" t="s">
        <v>37</v>
      </c>
      <c r="I89">
        <v>25</v>
      </c>
      <c r="J89" t="s">
        <v>103</v>
      </c>
      <c r="K89" t="s">
        <v>39</v>
      </c>
      <c r="L89" t="s">
        <v>64</v>
      </c>
      <c r="M89" t="s">
        <v>41</v>
      </c>
      <c r="N89">
        <v>1</v>
      </c>
      <c r="O89">
        <v>1200</v>
      </c>
      <c r="P89">
        <v>15</v>
      </c>
      <c r="Q89">
        <v>1020</v>
      </c>
      <c r="R89">
        <v>700</v>
      </c>
      <c r="S89">
        <v>320</v>
      </c>
      <c r="T89" t="s">
        <v>42</v>
      </c>
      <c r="U89">
        <v>4</v>
      </c>
      <c r="V89">
        <v>1</v>
      </c>
      <c r="W89" t="s">
        <v>76</v>
      </c>
      <c r="X89">
        <v>1020</v>
      </c>
      <c r="Y89">
        <v>2025</v>
      </c>
      <c r="Z89">
        <v>8</v>
      </c>
      <c r="AA89">
        <v>27</v>
      </c>
      <c r="AB89" t="s">
        <v>68</v>
      </c>
      <c r="AC89" t="s">
        <v>69</v>
      </c>
      <c r="AD89" t="s">
        <v>61</v>
      </c>
      <c r="AE89" t="s">
        <v>62</v>
      </c>
      <c r="AF89" t="s">
        <v>48</v>
      </c>
    </row>
    <row r="90" spans="1:32" x14ac:dyDescent="0.3">
      <c r="A90">
        <v>1089</v>
      </c>
      <c r="B90" s="2">
        <v>45426</v>
      </c>
      <c r="C90" t="s">
        <v>49</v>
      </c>
      <c r="D90" t="s">
        <v>51</v>
      </c>
      <c r="E90" t="s">
        <v>51</v>
      </c>
      <c r="F90" t="s">
        <v>213</v>
      </c>
      <c r="G90" t="s">
        <v>66</v>
      </c>
      <c r="H90" t="s">
        <v>54</v>
      </c>
      <c r="I90">
        <v>31</v>
      </c>
      <c r="J90" t="s">
        <v>55</v>
      </c>
      <c r="K90" t="s">
        <v>56</v>
      </c>
      <c r="L90" t="s">
        <v>57</v>
      </c>
      <c r="M90" t="s">
        <v>48</v>
      </c>
      <c r="N90">
        <v>5</v>
      </c>
      <c r="O90">
        <v>15000</v>
      </c>
      <c r="P90">
        <v>10</v>
      </c>
      <c r="Q90">
        <v>67500</v>
      </c>
      <c r="R90">
        <v>55000</v>
      </c>
      <c r="S90">
        <v>12500</v>
      </c>
      <c r="T90" t="s">
        <v>42</v>
      </c>
      <c r="U90">
        <v>2</v>
      </c>
      <c r="V90">
        <v>5</v>
      </c>
      <c r="W90" t="s">
        <v>76</v>
      </c>
      <c r="X90">
        <v>337500</v>
      </c>
      <c r="Y90">
        <v>2024</v>
      </c>
      <c r="Z90">
        <v>5</v>
      </c>
      <c r="AA90">
        <v>14</v>
      </c>
      <c r="AB90" t="s">
        <v>59</v>
      </c>
      <c r="AC90" t="s">
        <v>60</v>
      </c>
      <c r="AD90" t="s">
        <v>96</v>
      </c>
      <c r="AE90" t="s">
        <v>96</v>
      </c>
      <c r="AF90" t="s">
        <v>48</v>
      </c>
    </row>
    <row r="91" spans="1:32" x14ac:dyDescent="0.3">
      <c r="A91">
        <v>1090</v>
      </c>
      <c r="B91" s="2">
        <v>45866</v>
      </c>
      <c r="C91" t="s">
        <v>32</v>
      </c>
      <c r="D91" t="s">
        <v>51</v>
      </c>
      <c r="E91" t="s">
        <v>51</v>
      </c>
      <c r="F91" t="s">
        <v>214</v>
      </c>
      <c r="G91" t="s">
        <v>169</v>
      </c>
      <c r="H91" t="s">
        <v>37</v>
      </c>
      <c r="I91">
        <v>38</v>
      </c>
      <c r="J91" t="s">
        <v>38</v>
      </c>
      <c r="K91" t="s">
        <v>39</v>
      </c>
      <c r="L91" t="s">
        <v>40</v>
      </c>
      <c r="M91" t="s">
        <v>48</v>
      </c>
      <c r="N91">
        <v>2</v>
      </c>
      <c r="O91">
        <v>2000</v>
      </c>
      <c r="P91">
        <v>5</v>
      </c>
      <c r="Q91">
        <v>3800</v>
      </c>
      <c r="R91">
        <v>2400</v>
      </c>
      <c r="S91">
        <v>1400</v>
      </c>
      <c r="T91" t="s">
        <v>67</v>
      </c>
      <c r="U91">
        <v>5</v>
      </c>
      <c r="V91">
        <v>8</v>
      </c>
      <c r="W91" t="s">
        <v>43</v>
      </c>
      <c r="X91">
        <v>7600</v>
      </c>
      <c r="Y91">
        <v>2025</v>
      </c>
      <c r="Z91">
        <v>7</v>
      </c>
      <c r="AA91">
        <v>28</v>
      </c>
      <c r="AB91" t="s">
        <v>110</v>
      </c>
      <c r="AC91" t="s">
        <v>111</v>
      </c>
      <c r="AD91" t="s">
        <v>70</v>
      </c>
      <c r="AE91" t="s">
        <v>71</v>
      </c>
      <c r="AF91" t="s">
        <v>48</v>
      </c>
    </row>
    <row r="92" spans="1:32" x14ac:dyDescent="0.3">
      <c r="A92">
        <v>1091</v>
      </c>
      <c r="B92" s="2">
        <v>45871</v>
      </c>
      <c r="C92" t="s">
        <v>107</v>
      </c>
      <c r="D92" t="s">
        <v>33</v>
      </c>
      <c r="E92" t="s">
        <v>34</v>
      </c>
      <c r="F92" t="s">
        <v>215</v>
      </c>
      <c r="G92" t="s">
        <v>74</v>
      </c>
      <c r="H92" t="s">
        <v>37</v>
      </c>
      <c r="I92">
        <v>58</v>
      </c>
      <c r="J92" t="s">
        <v>65</v>
      </c>
      <c r="K92" t="s">
        <v>56</v>
      </c>
      <c r="L92" t="s">
        <v>75</v>
      </c>
      <c r="M92" t="s">
        <v>58</v>
      </c>
      <c r="N92">
        <v>3</v>
      </c>
      <c r="O92">
        <v>55000</v>
      </c>
      <c r="P92">
        <v>5</v>
      </c>
      <c r="Q92">
        <v>156750</v>
      </c>
      <c r="R92">
        <v>126000</v>
      </c>
      <c r="S92">
        <v>30750</v>
      </c>
      <c r="T92" t="s">
        <v>105</v>
      </c>
      <c r="U92">
        <v>1</v>
      </c>
      <c r="V92">
        <v>8</v>
      </c>
      <c r="W92" t="s">
        <v>76</v>
      </c>
      <c r="X92">
        <v>470250</v>
      </c>
      <c r="Y92">
        <v>2025</v>
      </c>
      <c r="Z92">
        <v>8</v>
      </c>
      <c r="AA92">
        <v>2</v>
      </c>
      <c r="AB92" t="s">
        <v>77</v>
      </c>
      <c r="AC92" t="s">
        <v>78</v>
      </c>
      <c r="AD92" t="s">
        <v>61</v>
      </c>
      <c r="AE92" t="s">
        <v>62</v>
      </c>
      <c r="AF92" t="s">
        <v>106</v>
      </c>
    </row>
    <row r="93" spans="1:32" x14ac:dyDescent="0.3">
      <c r="A93">
        <v>1092</v>
      </c>
      <c r="B93" s="2">
        <v>45994</v>
      </c>
      <c r="C93" t="s">
        <v>72</v>
      </c>
      <c r="D93" t="s">
        <v>33</v>
      </c>
      <c r="E93" t="s">
        <v>34</v>
      </c>
      <c r="F93" t="s">
        <v>216</v>
      </c>
      <c r="G93" t="s">
        <v>64</v>
      </c>
      <c r="H93" t="s">
        <v>54</v>
      </c>
      <c r="I93">
        <v>46</v>
      </c>
      <c r="J93" t="s">
        <v>55</v>
      </c>
      <c r="K93" t="s">
        <v>56</v>
      </c>
      <c r="L93" t="s">
        <v>64</v>
      </c>
      <c r="M93" t="s">
        <v>95</v>
      </c>
      <c r="N93">
        <v>5</v>
      </c>
      <c r="O93">
        <v>15000</v>
      </c>
      <c r="P93">
        <v>5</v>
      </c>
      <c r="Q93">
        <v>71250</v>
      </c>
      <c r="R93">
        <v>55000</v>
      </c>
      <c r="S93">
        <v>16250</v>
      </c>
      <c r="T93" t="s">
        <v>105</v>
      </c>
      <c r="U93">
        <v>2</v>
      </c>
      <c r="V93">
        <v>2</v>
      </c>
      <c r="W93" t="s">
        <v>76</v>
      </c>
      <c r="X93">
        <v>356250</v>
      </c>
      <c r="Y93">
        <v>2025</v>
      </c>
      <c r="Z93">
        <v>12</v>
      </c>
      <c r="AA93">
        <v>3</v>
      </c>
      <c r="AB93" t="s">
        <v>68</v>
      </c>
      <c r="AC93" t="s">
        <v>69</v>
      </c>
      <c r="AD93" t="s">
        <v>112</v>
      </c>
      <c r="AE93" t="s">
        <v>113</v>
      </c>
      <c r="AF93" t="s">
        <v>106</v>
      </c>
    </row>
    <row r="94" spans="1:32" x14ac:dyDescent="0.3">
      <c r="A94">
        <v>1093</v>
      </c>
      <c r="B94" s="2">
        <v>45551</v>
      </c>
      <c r="C94" t="s">
        <v>49</v>
      </c>
      <c r="D94" t="s">
        <v>51</v>
      </c>
      <c r="E94" t="s">
        <v>51</v>
      </c>
      <c r="F94" t="s">
        <v>217</v>
      </c>
      <c r="G94" t="s">
        <v>66</v>
      </c>
      <c r="H94" t="s">
        <v>37</v>
      </c>
      <c r="I94">
        <v>43</v>
      </c>
      <c r="J94" t="s">
        <v>103</v>
      </c>
      <c r="K94" t="s">
        <v>39</v>
      </c>
      <c r="L94" t="s">
        <v>75</v>
      </c>
      <c r="M94" t="s">
        <v>58</v>
      </c>
      <c r="N94">
        <v>4</v>
      </c>
      <c r="O94">
        <v>1200</v>
      </c>
      <c r="P94">
        <v>5</v>
      </c>
      <c r="Q94">
        <v>4560</v>
      </c>
      <c r="R94">
        <v>2800</v>
      </c>
      <c r="S94">
        <v>1760</v>
      </c>
      <c r="T94" t="s">
        <v>84</v>
      </c>
      <c r="U94">
        <v>4</v>
      </c>
      <c r="V94">
        <v>6</v>
      </c>
      <c r="W94" t="s">
        <v>43</v>
      </c>
      <c r="X94">
        <v>18240</v>
      </c>
      <c r="Y94">
        <v>2024</v>
      </c>
      <c r="Z94">
        <v>9</v>
      </c>
      <c r="AA94">
        <v>16</v>
      </c>
      <c r="AB94" t="s">
        <v>110</v>
      </c>
      <c r="AC94" t="s">
        <v>111</v>
      </c>
      <c r="AD94" t="s">
        <v>46</v>
      </c>
      <c r="AE94" t="s">
        <v>47</v>
      </c>
      <c r="AF94" t="s">
        <v>87</v>
      </c>
    </row>
    <row r="95" spans="1:32" x14ac:dyDescent="0.3">
      <c r="A95">
        <v>1094</v>
      </c>
      <c r="B95" s="2">
        <v>45819</v>
      </c>
      <c r="C95" t="s">
        <v>49</v>
      </c>
      <c r="D95" t="s">
        <v>81</v>
      </c>
      <c r="E95" t="s">
        <v>145</v>
      </c>
      <c r="F95" t="s">
        <v>218</v>
      </c>
      <c r="G95" t="s">
        <v>89</v>
      </c>
      <c r="H95" t="s">
        <v>37</v>
      </c>
      <c r="I95">
        <v>43</v>
      </c>
      <c r="J95" t="s">
        <v>38</v>
      </c>
      <c r="K95" t="s">
        <v>39</v>
      </c>
      <c r="L95" t="s">
        <v>75</v>
      </c>
      <c r="M95" t="s">
        <v>95</v>
      </c>
      <c r="N95">
        <v>4</v>
      </c>
      <c r="O95">
        <v>2000</v>
      </c>
      <c r="P95">
        <v>5</v>
      </c>
      <c r="Q95">
        <v>7600</v>
      </c>
      <c r="R95">
        <v>4800</v>
      </c>
      <c r="S95">
        <v>2800</v>
      </c>
      <c r="T95" t="s">
        <v>84</v>
      </c>
      <c r="U95">
        <v>5</v>
      </c>
      <c r="V95">
        <v>2</v>
      </c>
      <c r="W95" t="s">
        <v>76</v>
      </c>
      <c r="X95">
        <v>30400</v>
      </c>
      <c r="Y95">
        <v>2025</v>
      </c>
      <c r="Z95">
        <v>6</v>
      </c>
      <c r="AA95">
        <v>11</v>
      </c>
      <c r="AB95" t="s">
        <v>68</v>
      </c>
      <c r="AC95" t="s">
        <v>69</v>
      </c>
      <c r="AD95" t="s">
        <v>85</v>
      </c>
      <c r="AE95" t="s">
        <v>86</v>
      </c>
      <c r="AF95" t="s">
        <v>87</v>
      </c>
    </row>
    <row r="96" spans="1:32" x14ac:dyDescent="0.3">
      <c r="A96">
        <v>1095</v>
      </c>
      <c r="B96" s="2">
        <v>45866</v>
      </c>
      <c r="C96" t="s">
        <v>107</v>
      </c>
      <c r="D96" t="s">
        <v>101</v>
      </c>
      <c r="E96" t="s">
        <v>51</v>
      </c>
      <c r="F96" t="s">
        <v>219</v>
      </c>
      <c r="G96" t="s">
        <v>36</v>
      </c>
      <c r="H96" t="s">
        <v>54</v>
      </c>
      <c r="I96">
        <v>21</v>
      </c>
      <c r="J96" t="s">
        <v>38</v>
      </c>
      <c r="K96" t="s">
        <v>39</v>
      </c>
      <c r="L96" t="s">
        <v>57</v>
      </c>
      <c r="M96" t="s">
        <v>41</v>
      </c>
      <c r="N96">
        <v>3</v>
      </c>
      <c r="O96">
        <v>2000</v>
      </c>
      <c r="P96">
        <v>15</v>
      </c>
      <c r="Q96">
        <v>5100</v>
      </c>
      <c r="R96">
        <v>3600</v>
      </c>
      <c r="S96">
        <v>1500</v>
      </c>
      <c r="T96" t="s">
        <v>67</v>
      </c>
      <c r="U96">
        <v>2</v>
      </c>
      <c r="V96">
        <v>6</v>
      </c>
      <c r="W96" t="s">
        <v>76</v>
      </c>
      <c r="X96">
        <v>15300</v>
      </c>
      <c r="Y96">
        <v>2025</v>
      </c>
      <c r="Z96">
        <v>7</v>
      </c>
      <c r="AA96">
        <v>28</v>
      </c>
      <c r="AB96" t="s">
        <v>110</v>
      </c>
      <c r="AC96" t="s">
        <v>111</v>
      </c>
      <c r="AD96" t="s">
        <v>70</v>
      </c>
      <c r="AE96" t="s">
        <v>71</v>
      </c>
      <c r="AF96" t="s">
        <v>48</v>
      </c>
    </row>
    <row r="97" spans="1:32" x14ac:dyDescent="0.3">
      <c r="A97">
        <v>1096</v>
      </c>
      <c r="B97" s="2">
        <v>45582</v>
      </c>
      <c r="C97" t="s">
        <v>72</v>
      </c>
      <c r="D97" t="s">
        <v>81</v>
      </c>
      <c r="E97" t="s">
        <v>82</v>
      </c>
      <c r="F97" t="s">
        <v>220</v>
      </c>
      <c r="G97" t="s">
        <v>64</v>
      </c>
      <c r="H97" t="s">
        <v>54</v>
      </c>
      <c r="I97">
        <v>26</v>
      </c>
      <c r="J97" t="s">
        <v>103</v>
      </c>
      <c r="K97" t="s">
        <v>39</v>
      </c>
      <c r="L97" t="s">
        <v>75</v>
      </c>
      <c r="M97" t="s">
        <v>48</v>
      </c>
      <c r="N97">
        <v>4</v>
      </c>
      <c r="O97">
        <v>1200</v>
      </c>
      <c r="P97">
        <v>5</v>
      </c>
      <c r="Q97">
        <v>4560</v>
      </c>
      <c r="R97">
        <v>2800</v>
      </c>
      <c r="S97">
        <v>1760</v>
      </c>
      <c r="T97" t="s">
        <v>67</v>
      </c>
      <c r="U97">
        <v>5</v>
      </c>
      <c r="V97">
        <v>3</v>
      </c>
      <c r="W97" t="s">
        <v>76</v>
      </c>
      <c r="X97">
        <v>18240</v>
      </c>
      <c r="Y97">
        <v>2024</v>
      </c>
      <c r="Z97">
        <v>10</v>
      </c>
      <c r="AA97">
        <v>17</v>
      </c>
      <c r="AB97" t="s">
        <v>135</v>
      </c>
      <c r="AC97" t="s">
        <v>136</v>
      </c>
      <c r="AD97" t="s">
        <v>125</v>
      </c>
      <c r="AE97" t="s">
        <v>126</v>
      </c>
      <c r="AF97" t="s">
        <v>48</v>
      </c>
    </row>
    <row r="98" spans="1:32" x14ac:dyDescent="0.3">
      <c r="A98">
        <v>1097</v>
      </c>
      <c r="B98" s="2">
        <v>45652</v>
      </c>
      <c r="C98" t="s">
        <v>32</v>
      </c>
      <c r="D98" t="s">
        <v>50</v>
      </c>
      <c r="E98" t="s">
        <v>51</v>
      </c>
      <c r="F98" t="s">
        <v>221</v>
      </c>
      <c r="G98" t="s">
        <v>169</v>
      </c>
      <c r="H98" t="s">
        <v>54</v>
      </c>
      <c r="I98">
        <v>23</v>
      </c>
      <c r="J98" t="s">
        <v>65</v>
      </c>
      <c r="K98" t="s">
        <v>56</v>
      </c>
      <c r="L98" t="s">
        <v>124</v>
      </c>
      <c r="M98" t="s">
        <v>48</v>
      </c>
      <c r="N98">
        <v>2</v>
      </c>
      <c r="O98">
        <v>55000</v>
      </c>
      <c r="P98">
        <v>10</v>
      </c>
      <c r="Q98">
        <v>99000</v>
      </c>
      <c r="R98">
        <v>84000</v>
      </c>
      <c r="S98">
        <v>15000</v>
      </c>
      <c r="T98" t="s">
        <v>105</v>
      </c>
      <c r="U98">
        <v>1</v>
      </c>
      <c r="V98">
        <v>4</v>
      </c>
      <c r="W98" t="s">
        <v>43</v>
      </c>
      <c r="X98">
        <v>198000</v>
      </c>
      <c r="Y98">
        <v>2024</v>
      </c>
      <c r="Z98">
        <v>12</v>
      </c>
      <c r="AA98">
        <v>26</v>
      </c>
      <c r="AB98" t="s">
        <v>135</v>
      </c>
      <c r="AC98" t="s">
        <v>136</v>
      </c>
      <c r="AD98" t="s">
        <v>112</v>
      </c>
      <c r="AE98" t="s">
        <v>113</v>
      </c>
      <c r="AF98" t="s">
        <v>106</v>
      </c>
    </row>
    <row r="99" spans="1:32" x14ac:dyDescent="0.3">
      <c r="A99">
        <v>1098</v>
      </c>
      <c r="B99" s="2">
        <v>45534</v>
      </c>
      <c r="C99" t="s">
        <v>107</v>
      </c>
      <c r="D99" t="s">
        <v>51</v>
      </c>
      <c r="E99" t="s">
        <v>51</v>
      </c>
      <c r="F99" t="s">
        <v>222</v>
      </c>
      <c r="G99" t="s">
        <v>118</v>
      </c>
      <c r="H99" t="s">
        <v>37</v>
      </c>
      <c r="I99">
        <v>55</v>
      </c>
      <c r="J99" t="s">
        <v>98</v>
      </c>
      <c r="K99" t="s">
        <v>56</v>
      </c>
      <c r="L99" t="s">
        <v>75</v>
      </c>
      <c r="M99" t="s">
        <v>95</v>
      </c>
      <c r="N99">
        <v>4</v>
      </c>
      <c r="O99">
        <v>10000</v>
      </c>
      <c r="P99">
        <v>15</v>
      </c>
      <c r="Q99">
        <v>34000</v>
      </c>
      <c r="R99">
        <v>30000</v>
      </c>
      <c r="S99">
        <v>4000</v>
      </c>
      <c r="T99" t="s">
        <v>67</v>
      </c>
      <c r="U99">
        <v>5</v>
      </c>
      <c r="V99">
        <v>1</v>
      </c>
      <c r="W99" t="s">
        <v>43</v>
      </c>
      <c r="X99">
        <v>136000</v>
      </c>
      <c r="Y99">
        <v>2024</v>
      </c>
      <c r="Z99">
        <v>8</v>
      </c>
      <c r="AA99">
        <v>30</v>
      </c>
      <c r="AB99" t="s">
        <v>115</v>
      </c>
      <c r="AC99" t="s">
        <v>116</v>
      </c>
      <c r="AD99" t="s">
        <v>61</v>
      </c>
      <c r="AE99" t="s">
        <v>62</v>
      </c>
      <c r="AF99" t="s">
        <v>48</v>
      </c>
    </row>
    <row r="100" spans="1:32" x14ac:dyDescent="0.3">
      <c r="A100">
        <v>1099</v>
      </c>
      <c r="B100" s="2">
        <v>45601</v>
      </c>
      <c r="C100" t="s">
        <v>49</v>
      </c>
      <c r="D100" t="s">
        <v>33</v>
      </c>
      <c r="E100" t="s">
        <v>34</v>
      </c>
      <c r="F100" t="s">
        <v>223</v>
      </c>
      <c r="G100" t="s">
        <v>64</v>
      </c>
      <c r="H100" t="s">
        <v>54</v>
      </c>
      <c r="I100">
        <v>43</v>
      </c>
      <c r="J100" t="s">
        <v>38</v>
      </c>
      <c r="K100" t="s">
        <v>39</v>
      </c>
      <c r="L100" t="s">
        <v>66</v>
      </c>
      <c r="M100" t="s">
        <v>41</v>
      </c>
      <c r="N100">
        <v>3</v>
      </c>
      <c r="O100">
        <v>2000</v>
      </c>
      <c r="P100">
        <v>0</v>
      </c>
      <c r="Q100">
        <v>6000</v>
      </c>
      <c r="R100">
        <v>3600</v>
      </c>
      <c r="S100">
        <v>2400</v>
      </c>
      <c r="T100" t="s">
        <v>67</v>
      </c>
      <c r="U100">
        <v>3</v>
      </c>
      <c r="V100">
        <v>7</v>
      </c>
      <c r="W100" t="s">
        <v>76</v>
      </c>
      <c r="X100">
        <v>18000</v>
      </c>
      <c r="Y100">
        <v>2024</v>
      </c>
      <c r="Z100">
        <v>11</v>
      </c>
      <c r="AA100">
        <v>5</v>
      </c>
      <c r="AB100" t="s">
        <v>59</v>
      </c>
      <c r="AC100" t="s">
        <v>60</v>
      </c>
      <c r="AD100" t="s">
        <v>137</v>
      </c>
      <c r="AE100" t="s">
        <v>138</v>
      </c>
      <c r="AF100" t="s">
        <v>48</v>
      </c>
    </row>
    <row r="101" spans="1:32" x14ac:dyDescent="0.3">
      <c r="A101">
        <v>1100</v>
      </c>
      <c r="B101" s="2">
        <v>45363</v>
      </c>
      <c r="C101" t="s">
        <v>72</v>
      </c>
      <c r="D101" t="s">
        <v>51</v>
      </c>
      <c r="E101" t="s">
        <v>51</v>
      </c>
      <c r="F101" t="s">
        <v>224</v>
      </c>
      <c r="G101" t="s">
        <v>123</v>
      </c>
      <c r="H101" t="s">
        <v>37</v>
      </c>
      <c r="I101">
        <v>42</v>
      </c>
      <c r="J101" t="s">
        <v>90</v>
      </c>
      <c r="K101" t="s">
        <v>56</v>
      </c>
      <c r="L101" t="s">
        <v>124</v>
      </c>
      <c r="M101" t="s">
        <v>41</v>
      </c>
      <c r="N101">
        <v>3</v>
      </c>
      <c r="O101">
        <v>25000</v>
      </c>
      <c r="P101">
        <v>15</v>
      </c>
      <c r="Q101">
        <v>63750</v>
      </c>
      <c r="R101">
        <v>54000</v>
      </c>
      <c r="S101">
        <v>9750</v>
      </c>
      <c r="T101" t="s">
        <v>42</v>
      </c>
      <c r="U101">
        <v>1</v>
      </c>
      <c r="V101">
        <v>7</v>
      </c>
      <c r="W101" t="s">
        <v>43</v>
      </c>
      <c r="X101">
        <v>191250</v>
      </c>
      <c r="Y101">
        <v>2024</v>
      </c>
      <c r="Z101">
        <v>3</v>
      </c>
      <c r="AA101">
        <v>12</v>
      </c>
      <c r="AB101" t="s">
        <v>59</v>
      </c>
      <c r="AC101" t="s">
        <v>60</v>
      </c>
      <c r="AD101" t="s">
        <v>99</v>
      </c>
      <c r="AE101" t="s">
        <v>100</v>
      </c>
      <c r="AF101" t="s">
        <v>48</v>
      </c>
    </row>
    <row r="102" spans="1:32" x14ac:dyDescent="0.3">
      <c r="A102">
        <v>1101</v>
      </c>
      <c r="B102" s="2">
        <v>45816</v>
      </c>
      <c r="C102" t="s">
        <v>49</v>
      </c>
      <c r="D102" t="s">
        <v>50</v>
      </c>
      <c r="E102" t="s">
        <v>129</v>
      </c>
      <c r="F102" t="s">
        <v>225</v>
      </c>
      <c r="G102" t="s">
        <v>154</v>
      </c>
      <c r="H102" t="s">
        <v>37</v>
      </c>
      <c r="I102">
        <v>59</v>
      </c>
      <c r="J102" t="s">
        <v>134</v>
      </c>
      <c r="K102" t="s">
        <v>56</v>
      </c>
      <c r="L102" t="s">
        <v>104</v>
      </c>
      <c r="M102" t="s">
        <v>41</v>
      </c>
      <c r="N102">
        <v>3</v>
      </c>
      <c r="O102">
        <v>30000</v>
      </c>
      <c r="P102">
        <v>10</v>
      </c>
      <c r="Q102">
        <v>81000</v>
      </c>
      <c r="R102">
        <v>66000</v>
      </c>
      <c r="S102">
        <v>15000</v>
      </c>
      <c r="T102" t="s">
        <v>67</v>
      </c>
      <c r="U102">
        <v>5</v>
      </c>
      <c r="V102">
        <v>3</v>
      </c>
      <c r="W102" t="s">
        <v>43</v>
      </c>
      <c r="X102">
        <v>243000</v>
      </c>
      <c r="Y102">
        <v>2025</v>
      </c>
      <c r="Z102">
        <v>6</v>
      </c>
      <c r="AA102">
        <v>8</v>
      </c>
      <c r="AB102" t="s">
        <v>44</v>
      </c>
      <c r="AC102" t="s">
        <v>45</v>
      </c>
      <c r="AD102" t="s">
        <v>85</v>
      </c>
      <c r="AE102" t="s">
        <v>86</v>
      </c>
      <c r="AF102" t="s">
        <v>48</v>
      </c>
    </row>
    <row r="103" spans="1:32" x14ac:dyDescent="0.3">
      <c r="A103">
        <v>1102</v>
      </c>
      <c r="B103" s="2">
        <v>45915</v>
      </c>
      <c r="C103" t="s">
        <v>32</v>
      </c>
      <c r="D103" t="s">
        <v>81</v>
      </c>
      <c r="E103" t="s">
        <v>82</v>
      </c>
      <c r="F103" t="s">
        <v>226</v>
      </c>
      <c r="G103" t="s">
        <v>66</v>
      </c>
      <c r="H103" t="s">
        <v>54</v>
      </c>
      <c r="I103">
        <v>30</v>
      </c>
      <c r="J103" t="s">
        <v>134</v>
      </c>
      <c r="K103" t="s">
        <v>56</v>
      </c>
      <c r="L103" t="s">
        <v>140</v>
      </c>
      <c r="M103" t="s">
        <v>58</v>
      </c>
      <c r="N103">
        <v>1</v>
      </c>
      <c r="O103">
        <v>30000</v>
      </c>
      <c r="P103">
        <v>5</v>
      </c>
      <c r="Q103">
        <v>28500</v>
      </c>
      <c r="R103">
        <v>22000</v>
      </c>
      <c r="S103">
        <v>6500</v>
      </c>
      <c r="T103" t="s">
        <v>67</v>
      </c>
      <c r="U103">
        <v>3</v>
      </c>
      <c r="V103">
        <v>1</v>
      </c>
      <c r="W103" t="s">
        <v>76</v>
      </c>
      <c r="X103">
        <v>28500</v>
      </c>
      <c r="Y103">
        <v>2025</v>
      </c>
      <c r="Z103">
        <v>9</v>
      </c>
      <c r="AA103">
        <v>15</v>
      </c>
      <c r="AB103" t="s">
        <v>110</v>
      </c>
      <c r="AC103" t="s">
        <v>111</v>
      </c>
      <c r="AD103" t="s">
        <v>46</v>
      </c>
      <c r="AE103" t="s">
        <v>47</v>
      </c>
      <c r="AF103" t="s">
        <v>48</v>
      </c>
    </row>
    <row r="104" spans="1:32" x14ac:dyDescent="0.3">
      <c r="A104">
        <v>1103</v>
      </c>
      <c r="B104" s="2">
        <v>45956</v>
      </c>
      <c r="C104" t="s">
        <v>107</v>
      </c>
      <c r="D104" t="s">
        <v>101</v>
      </c>
      <c r="E104" t="s">
        <v>51</v>
      </c>
      <c r="F104" t="s">
        <v>227</v>
      </c>
      <c r="G104" t="s">
        <v>36</v>
      </c>
      <c r="H104" t="s">
        <v>54</v>
      </c>
      <c r="I104">
        <v>38</v>
      </c>
      <c r="J104" t="s">
        <v>134</v>
      </c>
      <c r="K104" t="s">
        <v>56</v>
      </c>
      <c r="L104" t="s">
        <v>66</v>
      </c>
      <c r="M104" t="s">
        <v>48</v>
      </c>
      <c r="N104">
        <v>3</v>
      </c>
      <c r="O104">
        <v>30000</v>
      </c>
      <c r="P104">
        <v>0</v>
      </c>
      <c r="Q104">
        <v>90000</v>
      </c>
      <c r="R104">
        <v>66000</v>
      </c>
      <c r="S104">
        <v>24000</v>
      </c>
      <c r="T104" t="s">
        <v>67</v>
      </c>
      <c r="U104">
        <v>3</v>
      </c>
      <c r="V104">
        <v>2</v>
      </c>
      <c r="W104" t="s">
        <v>43</v>
      </c>
      <c r="X104">
        <v>270000</v>
      </c>
      <c r="Y104">
        <v>2025</v>
      </c>
      <c r="Z104">
        <v>10</v>
      </c>
      <c r="AA104">
        <v>26</v>
      </c>
      <c r="AB104" t="s">
        <v>44</v>
      </c>
      <c r="AC104" t="s">
        <v>45</v>
      </c>
      <c r="AD104" t="s">
        <v>125</v>
      </c>
      <c r="AE104" t="s">
        <v>126</v>
      </c>
      <c r="AF104" t="s">
        <v>48</v>
      </c>
    </row>
    <row r="105" spans="1:32" x14ac:dyDescent="0.3">
      <c r="A105">
        <v>1104</v>
      </c>
      <c r="B105" s="2">
        <v>45407</v>
      </c>
      <c r="C105" t="s">
        <v>107</v>
      </c>
      <c r="D105" t="s">
        <v>51</v>
      </c>
      <c r="E105" t="s">
        <v>51</v>
      </c>
      <c r="F105" t="s">
        <v>228</v>
      </c>
      <c r="G105" t="s">
        <v>92</v>
      </c>
      <c r="H105" t="s">
        <v>54</v>
      </c>
      <c r="I105">
        <v>54</v>
      </c>
      <c r="J105" t="s">
        <v>65</v>
      </c>
      <c r="K105" t="s">
        <v>56</v>
      </c>
      <c r="L105" t="s">
        <v>104</v>
      </c>
      <c r="M105" t="s">
        <v>48</v>
      </c>
      <c r="N105">
        <v>1</v>
      </c>
      <c r="O105">
        <v>55000</v>
      </c>
      <c r="P105">
        <v>5</v>
      </c>
      <c r="Q105">
        <v>52250</v>
      </c>
      <c r="R105">
        <v>42000</v>
      </c>
      <c r="S105">
        <v>10250</v>
      </c>
      <c r="T105" t="s">
        <v>105</v>
      </c>
      <c r="U105">
        <v>2</v>
      </c>
      <c r="V105">
        <v>8</v>
      </c>
      <c r="W105" t="s">
        <v>76</v>
      </c>
      <c r="X105">
        <v>52250</v>
      </c>
      <c r="Y105">
        <v>2024</v>
      </c>
      <c r="Z105">
        <v>4</v>
      </c>
      <c r="AA105">
        <v>25</v>
      </c>
      <c r="AB105" t="s">
        <v>135</v>
      </c>
      <c r="AC105" t="s">
        <v>136</v>
      </c>
      <c r="AD105" t="s">
        <v>151</v>
      </c>
      <c r="AE105" t="s">
        <v>152</v>
      </c>
      <c r="AF105" t="s">
        <v>106</v>
      </c>
    </row>
    <row r="106" spans="1:32" x14ac:dyDescent="0.3">
      <c r="A106">
        <v>1105</v>
      </c>
      <c r="B106" s="2">
        <v>45354</v>
      </c>
      <c r="C106" t="s">
        <v>49</v>
      </c>
      <c r="D106" t="s">
        <v>81</v>
      </c>
      <c r="E106" t="s">
        <v>145</v>
      </c>
      <c r="F106" t="s">
        <v>229</v>
      </c>
      <c r="G106" t="s">
        <v>123</v>
      </c>
      <c r="H106" t="s">
        <v>37</v>
      </c>
      <c r="I106">
        <v>58</v>
      </c>
      <c r="J106" t="s">
        <v>103</v>
      </c>
      <c r="K106" t="s">
        <v>39</v>
      </c>
      <c r="L106" t="s">
        <v>124</v>
      </c>
      <c r="M106" t="s">
        <v>95</v>
      </c>
      <c r="N106">
        <v>3</v>
      </c>
      <c r="O106">
        <v>1200</v>
      </c>
      <c r="P106">
        <v>5</v>
      </c>
      <c r="Q106">
        <v>3420</v>
      </c>
      <c r="R106">
        <v>2100</v>
      </c>
      <c r="S106">
        <v>1320</v>
      </c>
      <c r="T106" t="s">
        <v>42</v>
      </c>
      <c r="U106">
        <v>5</v>
      </c>
      <c r="V106">
        <v>8</v>
      </c>
      <c r="W106" t="s">
        <v>43</v>
      </c>
      <c r="X106">
        <v>10260</v>
      </c>
      <c r="Y106">
        <v>2024</v>
      </c>
      <c r="Z106">
        <v>3</v>
      </c>
      <c r="AA106">
        <v>3</v>
      </c>
      <c r="AB106" t="s">
        <v>44</v>
      </c>
      <c r="AC106" t="s">
        <v>45</v>
      </c>
      <c r="AD106" t="s">
        <v>99</v>
      </c>
      <c r="AE106" t="s">
        <v>100</v>
      </c>
      <c r="AF106" t="s">
        <v>48</v>
      </c>
    </row>
    <row r="107" spans="1:32" x14ac:dyDescent="0.3">
      <c r="A107">
        <v>1106</v>
      </c>
      <c r="B107" s="2">
        <v>45794</v>
      </c>
      <c r="C107" t="s">
        <v>32</v>
      </c>
      <c r="D107" t="s">
        <v>51</v>
      </c>
      <c r="E107" t="s">
        <v>51</v>
      </c>
      <c r="F107" t="s">
        <v>230</v>
      </c>
      <c r="G107" t="s">
        <v>53</v>
      </c>
      <c r="H107" t="s">
        <v>54</v>
      </c>
      <c r="I107">
        <v>60</v>
      </c>
      <c r="J107" t="s">
        <v>65</v>
      </c>
      <c r="K107" t="s">
        <v>56</v>
      </c>
      <c r="L107" t="s">
        <v>57</v>
      </c>
      <c r="M107" t="s">
        <v>58</v>
      </c>
      <c r="N107">
        <v>2</v>
      </c>
      <c r="O107">
        <v>55000</v>
      </c>
      <c r="P107">
        <v>15</v>
      </c>
      <c r="Q107">
        <v>93500</v>
      </c>
      <c r="R107">
        <v>84000</v>
      </c>
      <c r="S107">
        <v>9500</v>
      </c>
      <c r="T107" t="s">
        <v>67</v>
      </c>
      <c r="U107">
        <v>5</v>
      </c>
      <c r="V107">
        <v>4</v>
      </c>
      <c r="W107" t="s">
        <v>43</v>
      </c>
      <c r="X107">
        <v>187000</v>
      </c>
      <c r="Y107">
        <v>2025</v>
      </c>
      <c r="Z107">
        <v>5</v>
      </c>
      <c r="AA107">
        <v>17</v>
      </c>
      <c r="AB107" t="s">
        <v>77</v>
      </c>
      <c r="AC107" t="s">
        <v>78</v>
      </c>
      <c r="AD107" t="s">
        <v>96</v>
      </c>
      <c r="AE107" t="s">
        <v>96</v>
      </c>
      <c r="AF107" t="s">
        <v>48</v>
      </c>
    </row>
    <row r="108" spans="1:32" x14ac:dyDescent="0.3">
      <c r="A108">
        <v>1107</v>
      </c>
      <c r="B108" s="2">
        <v>45887</v>
      </c>
      <c r="C108" t="s">
        <v>32</v>
      </c>
      <c r="D108" t="s">
        <v>101</v>
      </c>
      <c r="E108" t="s">
        <v>127</v>
      </c>
      <c r="F108" t="s">
        <v>231</v>
      </c>
      <c r="G108" t="s">
        <v>169</v>
      </c>
      <c r="H108" t="s">
        <v>54</v>
      </c>
      <c r="I108">
        <v>55</v>
      </c>
      <c r="J108" t="s">
        <v>38</v>
      </c>
      <c r="K108" t="s">
        <v>39</v>
      </c>
      <c r="L108" t="s">
        <v>66</v>
      </c>
      <c r="M108" t="s">
        <v>41</v>
      </c>
      <c r="N108">
        <v>5</v>
      </c>
      <c r="O108">
        <v>2000</v>
      </c>
      <c r="P108">
        <v>10</v>
      </c>
      <c r="Q108">
        <v>9000</v>
      </c>
      <c r="R108">
        <v>6000</v>
      </c>
      <c r="S108">
        <v>3000</v>
      </c>
      <c r="T108" t="s">
        <v>105</v>
      </c>
      <c r="U108">
        <v>1</v>
      </c>
      <c r="V108">
        <v>7</v>
      </c>
      <c r="W108" t="s">
        <v>76</v>
      </c>
      <c r="X108">
        <v>45000</v>
      </c>
      <c r="Y108">
        <v>2025</v>
      </c>
      <c r="Z108">
        <v>8</v>
      </c>
      <c r="AA108">
        <v>18</v>
      </c>
      <c r="AB108" t="s">
        <v>110</v>
      </c>
      <c r="AC108" t="s">
        <v>111</v>
      </c>
      <c r="AD108" t="s">
        <v>61</v>
      </c>
      <c r="AE108" t="s">
        <v>62</v>
      </c>
      <c r="AF108" t="s">
        <v>106</v>
      </c>
    </row>
    <row r="109" spans="1:32" x14ac:dyDescent="0.3">
      <c r="A109">
        <v>1108</v>
      </c>
      <c r="B109" s="2">
        <v>45834</v>
      </c>
      <c r="C109" t="s">
        <v>32</v>
      </c>
      <c r="D109" t="s">
        <v>50</v>
      </c>
      <c r="E109" t="s">
        <v>51</v>
      </c>
      <c r="F109" t="s">
        <v>232</v>
      </c>
      <c r="G109" t="s">
        <v>36</v>
      </c>
      <c r="H109" t="s">
        <v>54</v>
      </c>
      <c r="I109">
        <v>58</v>
      </c>
      <c r="J109" t="s">
        <v>98</v>
      </c>
      <c r="K109" t="s">
        <v>56</v>
      </c>
      <c r="L109" t="s">
        <v>124</v>
      </c>
      <c r="M109" t="s">
        <v>41</v>
      </c>
      <c r="N109">
        <v>5</v>
      </c>
      <c r="O109">
        <v>10000</v>
      </c>
      <c r="P109">
        <v>0</v>
      </c>
      <c r="Q109">
        <v>50000</v>
      </c>
      <c r="R109">
        <v>37500</v>
      </c>
      <c r="S109">
        <v>12500</v>
      </c>
      <c r="T109" t="s">
        <v>67</v>
      </c>
      <c r="U109">
        <v>4</v>
      </c>
      <c r="V109">
        <v>4</v>
      </c>
      <c r="W109" t="s">
        <v>76</v>
      </c>
      <c r="X109">
        <v>250000</v>
      </c>
      <c r="Y109">
        <v>2025</v>
      </c>
      <c r="Z109">
        <v>6</v>
      </c>
      <c r="AA109">
        <v>26</v>
      </c>
      <c r="AB109" t="s">
        <v>135</v>
      </c>
      <c r="AC109" t="s">
        <v>136</v>
      </c>
      <c r="AD109" t="s">
        <v>85</v>
      </c>
      <c r="AE109" t="s">
        <v>86</v>
      </c>
      <c r="AF109" t="s">
        <v>48</v>
      </c>
    </row>
    <row r="110" spans="1:32" x14ac:dyDescent="0.3">
      <c r="A110">
        <v>1109</v>
      </c>
      <c r="B110" s="2">
        <v>45757</v>
      </c>
      <c r="C110" t="s">
        <v>107</v>
      </c>
      <c r="D110" t="s">
        <v>81</v>
      </c>
      <c r="E110" t="s">
        <v>82</v>
      </c>
      <c r="F110" t="s">
        <v>233</v>
      </c>
      <c r="G110" t="s">
        <v>74</v>
      </c>
      <c r="H110" t="s">
        <v>54</v>
      </c>
      <c r="I110">
        <v>50</v>
      </c>
      <c r="J110" t="s">
        <v>90</v>
      </c>
      <c r="K110" t="s">
        <v>56</v>
      </c>
      <c r="L110" t="s">
        <v>124</v>
      </c>
      <c r="M110" t="s">
        <v>58</v>
      </c>
      <c r="N110">
        <v>2</v>
      </c>
      <c r="O110">
        <v>25000</v>
      </c>
      <c r="P110">
        <v>15</v>
      </c>
      <c r="Q110">
        <v>42500</v>
      </c>
      <c r="R110">
        <v>36000</v>
      </c>
      <c r="S110">
        <v>6500</v>
      </c>
      <c r="T110" t="s">
        <v>105</v>
      </c>
      <c r="U110">
        <v>4</v>
      </c>
      <c r="V110">
        <v>8</v>
      </c>
      <c r="W110" t="s">
        <v>43</v>
      </c>
      <c r="X110">
        <v>85000</v>
      </c>
      <c r="Y110">
        <v>2025</v>
      </c>
      <c r="Z110">
        <v>4</v>
      </c>
      <c r="AA110">
        <v>10</v>
      </c>
      <c r="AB110" t="s">
        <v>135</v>
      </c>
      <c r="AC110" t="s">
        <v>136</v>
      </c>
      <c r="AD110" t="s">
        <v>151</v>
      </c>
      <c r="AE110" t="s">
        <v>152</v>
      </c>
      <c r="AF110" t="s">
        <v>106</v>
      </c>
    </row>
    <row r="111" spans="1:32" x14ac:dyDescent="0.3">
      <c r="A111">
        <v>1110</v>
      </c>
      <c r="B111" s="2">
        <v>45363</v>
      </c>
      <c r="C111" t="s">
        <v>32</v>
      </c>
      <c r="D111" t="s">
        <v>101</v>
      </c>
      <c r="E111" t="s">
        <v>127</v>
      </c>
      <c r="F111" t="s">
        <v>234</v>
      </c>
      <c r="G111" t="s">
        <v>92</v>
      </c>
      <c r="H111" t="s">
        <v>37</v>
      </c>
      <c r="I111">
        <v>56</v>
      </c>
      <c r="J111" t="s">
        <v>103</v>
      </c>
      <c r="K111" t="s">
        <v>39</v>
      </c>
      <c r="L111" t="s">
        <v>124</v>
      </c>
      <c r="M111" t="s">
        <v>48</v>
      </c>
      <c r="N111">
        <v>5</v>
      </c>
      <c r="O111">
        <v>1200</v>
      </c>
      <c r="P111">
        <v>10</v>
      </c>
      <c r="Q111">
        <v>5400</v>
      </c>
      <c r="R111">
        <v>3500</v>
      </c>
      <c r="S111">
        <v>1900</v>
      </c>
      <c r="T111" t="s">
        <v>67</v>
      </c>
      <c r="U111">
        <v>3</v>
      </c>
      <c r="V111">
        <v>4</v>
      </c>
      <c r="W111" t="s">
        <v>43</v>
      </c>
      <c r="X111">
        <v>27000</v>
      </c>
      <c r="Y111">
        <v>2024</v>
      </c>
      <c r="Z111">
        <v>3</v>
      </c>
      <c r="AA111">
        <v>12</v>
      </c>
      <c r="AB111" t="s">
        <v>59</v>
      </c>
      <c r="AC111" t="s">
        <v>60</v>
      </c>
      <c r="AD111" t="s">
        <v>99</v>
      </c>
      <c r="AE111" t="s">
        <v>100</v>
      </c>
      <c r="AF111" t="s">
        <v>48</v>
      </c>
    </row>
    <row r="112" spans="1:32" x14ac:dyDescent="0.3">
      <c r="A112">
        <v>1111</v>
      </c>
      <c r="B112" s="2">
        <v>45853</v>
      </c>
      <c r="C112" t="s">
        <v>32</v>
      </c>
      <c r="D112" t="s">
        <v>101</v>
      </c>
      <c r="E112" t="s">
        <v>127</v>
      </c>
      <c r="F112" t="s">
        <v>235</v>
      </c>
      <c r="G112" t="s">
        <v>94</v>
      </c>
      <c r="H112" t="s">
        <v>37</v>
      </c>
      <c r="I112">
        <v>53</v>
      </c>
      <c r="J112" t="s">
        <v>55</v>
      </c>
      <c r="K112" t="s">
        <v>56</v>
      </c>
      <c r="L112" t="s">
        <v>124</v>
      </c>
      <c r="M112" t="s">
        <v>95</v>
      </c>
      <c r="N112">
        <v>1</v>
      </c>
      <c r="O112">
        <v>15000</v>
      </c>
      <c r="P112">
        <v>15</v>
      </c>
      <c r="Q112">
        <v>12750</v>
      </c>
      <c r="R112">
        <v>11000</v>
      </c>
      <c r="S112">
        <v>1750</v>
      </c>
      <c r="T112" t="s">
        <v>67</v>
      </c>
      <c r="U112">
        <v>1</v>
      </c>
      <c r="V112">
        <v>6</v>
      </c>
      <c r="W112" t="s">
        <v>43</v>
      </c>
      <c r="X112">
        <v>12750</v>
      </c>
      <c r="Y112">
        <v>2025</v>
      </c>
      <c r="Z112">
        <v>7</v>
      </c>
      <c r="AA112">
        <v>15</v>
      </c>
      <c r="AB112" t="s">
        <v>59</v>
      </c>
      <c r="AC112" t="s">
        <v>60</v>
      </c>
      <c r="AD112" t="s">
        <v>70</v>
      </c>
      <c r="AE112" t="s">
        <v>71</v>
      </c>
      <c r="AF112" t="s">
        <v>48</v>
      </c>
    </row>
    <row r="113" spans="1:32" x14ac:dyDescent="0.3">
      <c r="A113">
        <v>1112</v>
      </c>
      <c r="B113" s="2">
        <v>45614</v>
      </c>
      <c r="C113" t="s">
        <v>49</v>
      </c>
      <c r="D113" t="s">
        <v>101</v>
      </c>
      <c r="E113" t="s">
        <v>51</v>
      </c>
      <c r="F113" t="s">
        <v>236</v>
      </c>
      <c r="G113" t="s">
        <v>92</v>
      </c>
      <c r="H113" t="s">
        <v>54</v>
      </c>
      <c r="I113">
        <v>29</v>
      </c>
      <c r="J113" t="s">
        <v>90</v>
      </c>
      <c r="K113" t="s">
        <v>56</v>
      </c>
      <c r="L113" t="s">
        <v>104</v>
      </c>
      <c r="M113" t="s">
        <v>95</v>
      </c>
      <c r="N113">
        <v>3</v>
      </c>
      <c r="O113">
        <v>25000</v>
      </c>
      <c r="P113">
        <v>15</v>
      </c>
      <c r="Q113">
        <v>63750</v>
      </c>
      <c r="R113">
        <v>54000</v>
      </c>
      <c r="S113">
        <v>9750</v>
      </c>
      <c r="T113" t="s">
        <v>42</v>
      </c>
      <c r="U113">
        <v>2</v>
      </c>
      <c r="V113">
        <v>1</v>
      </c>
      <c r="W113" t="s">
        <v>43</v>
      </c>
      <c r="X113">
        <v>191250</v>
      </c>
      <c r="Y113">
        <v>2024</v>
      </c>
      <c r="Z113">
        <v>11</v>
      </c>
      <c r="AA113">
        <v>18</v>
      </c>
      <c r="AB113" t="s">
        <v>110</v>
      </c>
      <c r="AC113" t="s">
        <v>111</v>
      </c>
      <c r="AD113" t="s">
        <v>137</v>
      </c>
      <c r="AE113" t="s">
        <v>138</v>
      </c>
      <c r="AF113" t="s">
        <v>48</v>
      </c>
    </row>
    <row r="114" spans="1:32" x14ac:dyDescent="0.3">
      <c r="A114">
        <v>1113</v>
      </c>
      <c r="B114" s="2">
        <v>45822</v>
      </c>
      <c r="C114" t="s">
        <v>49</v>
      </c>
      <c r="D114" t="s">
        <v>33</v>
      </c>
      <c r="E114" t="s">
        <v>34</v>
      </c>
      <c r="F114" t="s">
        <v>237</v>
      </c>
      <c r="G114" t="s">
        <v>94</v>
      </c>
      <c r="H114" t="s">
        <v>54</v>
      </c>
      <c r="I114">
        <v>59</v>
      </c>
      <c r="J114" t="s">
        <v>134</v>
      </c>
      <c r="K114" t="s">
        <v>56</v>
      </c>
      <c r="L114" t="s">
        <v>64</v>
      </c>
      <c r="M114" t="s">
        <v>95</v>
      </c>
      <c r="N114">
        <v>4</v>
      </c>
      <c r="O114">
        <v>30000</v>
      </c>
      <c r="P114">
        <v>10</v>
      </c>
      <c r="Q114">
        <v>108000</v>
      </c>
      <c r="R114">
        <v>88000</v>
      </c>
      <c r="S114">
        <v>20000</v>
      </c>
      <c r="T114" t="s">
        <v>67</v>
      </c>
      <c r="U114">
        <v>4</v>
      </c>
      <c r="V114">
        <v>4</v>
      </c>
      <c r="W114" t="s">
        <v>76</v>
      </c>
      <c r="X114">
        <v>432000</v>
      </c>
      <c r="Y114">
        <v>2025</v>
      </c>
      <c r="Z114">
        <v>6</v>
      </c>
      <c r="AA114">
        <v>14</v>
      </c>
      <c r="AB114" t="s">
        <v>77</v>
      </c>
      <c r="AC114" t="s">
        <v>78</v>
      </c>
      <c r="AD114" t="s">
        <v>85</v>
      </c>
      <c r="AE114" t="s">
        <v>86</v>
      </c>
      <c r="AF114" t="s">
        <v>48</v>
      </c>
    </row>
    <row r="115" spans="1:32" x14ac:dyDescent="0.3">
      <c r="A115">
        <v>1114</v>
      </c>
      <c r="B115" s="2">
        <v>45830</v>
      </c>
      <c r="C115" t="s">
        <v>32</v>
      </c>
      <c r="D115" t="s">
        <v>81</v>
      </c>
      <c r="E115" t="s">
        <v>82</v>
      </c>
      <c r="F115" t="s">
        <v>238</v>
      </c>
      <c r="G115" t="s">
        <v>118</v>
      </c>
      <c r="H115" t="s">
        <v>37</v>
      </c>
      <c r="I115">
        <v>58</v>
      </c>
      <c r="J115" t="s">
        <v>134</v>
      </c>
      <c r="K115" t="s">
        <v>56</v>
      </c>
      <c r="L115" t="s">
        <v>124</v>
      </c>
      <c r="M115" t="s">
        <v>41</v>
      </c>
      <c r="N115">
        <v>3</v>
      </c>
      <c r="O115">
        <v>30000</v>
      </c>
      <c r="P115">
        <v>10</v>
      </c>
      <c r="Q115">
        <v>81000</v>
      </c>
      <c r="R115">
        <v>66000</v>
      </c>
      <c r="S115">
        <v>15000</v>
      </c>
      <c r="T115" t="s">
        <v>84</v>
      </c>
      <c r="U115">
        <v>4</v>
      </c>
      <c r="V115">
        <v>7</v>
      </c>
      <c r="W115" t="s">
        <v>43</v>
      </c>
      <c r="X115">
        <v>243000</v>
      </c>
      <c r="Y115">
        <v>2025</v>
      </c>
      <c r="Z115">
        <v>6</v>
      </c>
      <c r="AA115">
        <v>22</v>
      </c>
      <c r="AB115" t="s">
        <v>44</v>
      </c>
      <c r="AC115" t="s">
        <v>45</v>
      </c>
      <c r="AD115" t="s">
        <v>85</v>
      </c>
      <c r="AE115" t="s">
        <v>86</v>
      </c>
      <c r="AF115" t="s">
        <v>87</v>
      </c>
    </row>
    <row r="116" spans="1:32" x14ac:dyDescent="0.3">
      <c r="A116">
        <v>1115</v>
      </c>
      <c r="B116" s="2">
        <v>45740</v>
      </c>
      <c r="C116" t="s">
        <v>107</v>
      </c>
      <c r="D116" t="s">
        <v>101</v>
      </c>
      <c r="E116" t="s">
        <v>127</v>
      </c>
      <c r="F116" t="s">
        <v>239</v>
      </c>
      <c r="G116" t="s">
        <v>154</v>
      </c>
      <c r="H116" t="s">
        <v>54</v>
      </c>
      <c r="I116">
        <v>60</v>
      </c>
      <c r="J116" t="s">
        <v>65</v>
      </c>
      <c r="K116" t="s">
        <v>56</v>
      </c>
      <c r="L116" t="s">
        <v>75</v>
      </c>
      <c r="M116" t="s">
        <v>41</v>
      </c>
      <c r="N116">
        <v>1</v>
      </c>
      <c r="O116">
        <v>55000</v>
      </c>
      <c r="P116">
        <v>15</v>
      </c>
      <c r="Q116">
        <v>46750</v>
      </c>
      <c r="R116">
        <v>42000</v>
      </c>
      <c r="S116">
        <v>4750</v>
      </c>
      <c r="T116" t="s">
        <v>42</v>
      </c>
      <c r="U116">
        <v>4</v>
      </c>
      <c r="V116">
        <v>2</v>
      </c>
      <c r="W116" t="s">
        <v>76</v>
      </c>
      <c r="X116">
        <v>46750</v>
      </c>
      <c r="Y116">
        <v>2025</v>
      </c>
      <c r="Z116">
        <v>3</v>
      </c>
      <c r="AA116">
        <v>24</v>
      </c>
      <c r="AB116" t="s">
        <v>110</v>
      </c>
      <c r="AC116" t="s">
        <v>111</v>
      </c>
      <c r="AD116" t="s">
        <v>99</v>
      </c>
      <c r="AE116" t="s">
        <v>100</v>
      </c>
      <c r="AF116" t="s">
        <v>48</v>
      </c>
    </row>
    <row r="117" spans="1:32" x14ac:dyDescent="0.3">
      <c r="A117">
        <v>1116</v>
      </c>
      <c r="B117" s="2">
        <v>45354</v>
      </c>
      <c r="C117" t="s">
        <v>107</v>
      </c>
      <c r="D117" t="s">
        <v>101</v>
      </c>
      <c r="E117" t="s">
        <v>127</v>
      </c>
      <c r="F117" t="s">
        <v>240</v>
      </c>
      <c r="G117" t="s">
        <v>89</v>
      </c>
      <c r="H117" t="s">
        <v>37</v>
      </c>
      <c r="I117">
        <v>44</v>
      </c>
      <c r="J117" t="s">
        <v>109</v>
      </c>
      <c r="K117" t="s">
        <v>39</v>
      </c>
      <c r="L117" t="s">
        <v>124</v>
      </c>
      <c r="M117" t="s">
        <v>95</v>
      </c>
      <c r="N117">
        <v>5</v>
      </c>
      <c r="O117">
        <v>800</v>
      </c>
      <c r="P117">
        <v>15</v>
      </c>
      <c r="Q117">
        <v>3400</v>
      </c>
      <c r="R117">
        <v>2000</v>
      </c>
      <c r="S117">
        <v>1400</v>
      </c>
      <c r="T117" t="s">
        <v>84</v>
      </c>
      <c r="U117">
        <v>5</v>
      </c>
      <c r="V117">
        <v>8</v>
      </c>
      <c r="W117" t="s">
        <v>43</v>
      </c>
      <c r="X117">
        <v>17000</v>
      </c>
      <c r="Y117">
        <v>2024</v>
      </c>
      <c r="Z117">
        <v>3</v>
      </c>
      <c r="AA117">
        <v>3</v>
      </c>
      <c r="AB117" t="s">
        <v>44</v>
      </c>
      <c r="AC117" t="s">
        <v>45</v>
      </c>
      <c r="AD117" t="s">
        <v>99</v>
      </c>
      <c r="AE117" t="s">
        <v>100</v>
      </c>
      <c r="AF117" t="s">
        <v>87</v>
      </c>
    </row>
    <row r="118" spans="1:32" x14ac:dyDescent="0.3">
      <c r="A118">
        <v>1117</v>
      </c>
      <c r="B118" s="2">
        <v>46021</v>
      </c>
      <c r="C118" t="s">
        <v>49</v>
      </c>
      <c r="D118" t="s">
        <v>50</v>
      </c>
      <c r="E118" t="s">
        <v>129</v>
      </c>
      <c r="F118" t="s">
        <v>241</v>
      </c>
      <c r="G118" t="s">
        <v>89</v>
      </c>
      <c r="H118" t="s">
        <v>54</v>
      </c>
      <c r="I118">
        <v>49</v>
      </c>
      <c r="J118" t="s">
        <v>65</v>
      </c>
      <c r="K118" t="s">
        <v>56</v>
      </c>
      <c r="L118" t="s">
        <v>40</v>
      </c>
      <c r="M118" t="s">
        <v>48</v>
      </c>
      <c r="N118">
        <v>5</v>
      </c>
      <c r="O118">
        <v>55000</v>
      </c>
      <c r="P118">
        <v>5</v>
      </c>
      <c r="Q118">
        <v>261250</v>
      </c>
      <c r="R118">
        <v>210000</v>
      </c>
      <c r="S118">
        <v>51250</v>
      </c>
      <c r="T118" t="s">
        <v>67</v>
      </c>
      <c r="U118">
        <v>5</v>
      </c>
      <c r="V118">
        <v>2</v>
      </c>
      <c r="W118" t="s">
        <v>43</v>
      </c>
      <c r="X118">
        <v>1306250</v>
      </c>
      <c r="Y118">
        <v>2025</v>
      </c>
      <c r="Z118">
        <v>12</v>
      </c>
      <c r="AA118">
        <v>30</v>
      </c>
      <c r="AB118" t="s">
        <v>59</v>
      </c>
      <c r="AC118" t="s">
        <v>60</v>
      </c>
      <c r="AD118" t="s">
        <v>112</v>
      </c>
      <c r="AE118" t="s">
        <v>113</v>
      </c>
      <c r="AF118" t="s">
        <v>48</v>
      </c>
    </row>
    <row r="119" spans="1:32" x14ac:dyDescent="0.3">
      <c r="A119">
        <v>1118</v>
      </c>
      <c r="B119" s="2">
        <v>45478</v>
      </c>
      <c r="C119" t="s">
        <v>107</v>
      </c>
      <c r="D119" t="s">
        <v>101</v>
      </c>
      <c r="E119" t="s">
        <v>51</v>
      </c>
      <c r="F119" t="s">
        <v>242</v>
      </c>
      <c r="G119" t="s">
        <v>123</v>
      </c>
      <c r="H119" t="s">
        <v>54</v>
      </c>
      <c r="I119">
        <v>59</v>
      </c>
      <c r="J119" t="s">
        <v>109</v>
      </c>
      <c r="K119" t="s">
        <v>39</v>
      </c>
      <c r="L119" t="s">
        <v>64</v>
      </c>
      <c r="M119" t="s">
        <v>41</v>
      </c>
      <c r="N119">
        <v>5</v>
      </c>
      <c r="O119">
        <v>800</v>
      </c>
      <c r="P119">
        <v>15</v>
      </c>
      <c r="Q119">
        <v>3400</v>
      </c>
      <c r="R119">
        <v>2000</v>
      </c>
      <c r="S119">
        <v>1400</v>
      </c>
      <c r="T119" t="s">
        <v>42</v>
      </c>
      <c r="U119">
        <v>2</v>
      </c>
      <c r="V119">
        <v>3</v>
      </c>
      <c r="W119" t="s">
        <v>76</v>
      </c>
      <c r="X119">
        <v>17000</v>
      </c>
      <c r="Y119">
        <v>2024</v>
      </c>
      <c r="Z119">
        <v>7</v>
      </c>
      <c r="AA119">
        <v>5</v>
      </c>
      <c r="AB119" t="s">
        <v>115</v>
      </c>
      <c r="AC119" t="s">
        <v>116</v>
      </c>
      <c r="AD119" t="s">
        <v>70</v>
      </c>
      <c r="AE119" t="s">
        <v>71</v>
      </c>
      <c r="AF119" t="s">
        <v>48</v>
      </c>
    </row>
    <row r="120" spans="1:32" x14ac:dyDescent="0.3">
      <c r="A120">
        <v>1119</v>
      </c>
      <c r="B120" s="2">
        <v>46016</v>
      </c>
      <c r="C120" t="s">
        <v>32</v>
      </c>
      <c r="D120" t="s">
        <v>81</v>
      </c>
      <c r="E120" t="s">
        <v>82</v>
      </c>
      <c r="F120" t="s">
        <v>243</v>
      </c>
      <c r="G120" t="s">
        <v>74</v>
      </c>
      <c r="H120" t="s">
        <v>37</v>
      </c>
      <c r="I120">
        <v>32</v>
      </c>
      <c r="J120" t="s">
        <v>103</v>
      </c>
      <c r="K120" t="s">
        <v>39</v>
      </c>
      <c r="L120" t="s">
        <v>104</v>
      </c>
      <c r="M120" t="s">
        <v>58</v>
      </c>
      <c r="N120">
        <v>3</v>
      </c>
      <c r="O120">
        <v>1200</v>
      </c>
      <c r="P120">
        <v>0</v>
      </c>
      <c r="Q120">
        <v>3600</v>
      </c>
      <c r="R120">
        <v>2100</v>
      </c>
      <c r="S120">
        <v>1500</v>
      </c>
      <c r="T120" t="s">
        <v>105</v>
      </c>
      <c r="U120">
        <v>3</v>
      </c>
      <c r="V120">
        <v>4</v>
      </c>
      <c r="W120" t="s">
        <v>76</v>
      </c>
      <c r="X120">
        <v>10800</v>
      </c>
      <c r="Y120">
        <v>2025</v>
      </c>
      <c r="Z120">
        <v>12</v>
      </c>
      <c r="AA120">
        <v>25</v>
      </c>
      <c r="AB120" t="s">
        <v>135</v>
      </c>
      <c r="AC120" t="s">
        <v>136</v>
      </c>
      <c r="AD120" t="s">
        <v>112</v>
      </c>
      <c r="AE120" t="s">
        <v>113</v>
      </c>
      <c r="AF120" t="s">
        <v>106</v>
      </c>
    </row>
    <row r="121" spans="1:32" x14ac:dyDescent="0.3">
      <c r="A121">
        <v>1120</v>
      </c>
      <c r="B121" s="2">
        <v>45744</v>
      </c>
      <c r="C121" t="s">
        <v>49</v>
      </c>
      <c r="D121" t="s">
        <v>50</v>
      </c>
      <c r="E121" t="s">
        <v>129</v>
      </c>
      <c r="F121" t="s">
        <v>244</v>
      </c>
      <c r="G121" t="s">
        <v>89</v>
      </c>
      <c r="H121" t="s">
        <v>54</v>
      </c>
      <c r="I121">
        <v>38</v>
      </c>
      <c r="J121" t="s">
        <v>109</v>
      </c>
      <c r="K121" t="s">
        <v>39</v>
      </c>
      <c r="L121" t="s">
        <v>57</v>
      </c>
      <c r="M121" t="s">
        <v>41</v>
      </c>
      <c r="N121">
        <v>3</v>
      </c>
      <c r="O121">
        <v>800</v>
      </c>
      <c r="P121">
        <v>5</v>
      </c>
      <c r="Q121">
        <v>2280</v>
      </c>
      <c r="R121">
        <v>1200</v>
      </c>
      <c r="S121">
        <v>1080</v>
      </c>
      <c r="T121" t="s">
        <v>67</v>
      </c>
      <c r="U121">
        <v>5</v>
      </c>
      <c r="V121">
        <v>6</v>
      </c>
      <c r="W121" t="s">
        <v>43</v>
      </c>
      <c r="X121">
        <v>6840</v>
      </c>
      <c r="Y121">
        <v>2025</v>
      </c>
      <c r="Z121">
        <v>3</v>
      </c>
      <c r="AA121">
        <v>28</v>
      </c>
      <c r="AB121" t="s">
        <v>115</v>
      </c>
      <c r="AC121" t="s">
        <v>116</v>
      </c>
      <c r="AD121" t="s">
        <v>99</v>
      </c>
      <c r="AE121" t="s">
        <v>100</v>
      </c>
      <c r="AF121" t="s">
        <v>48</v>
      </c>
    </row>
    <row r="122" spans="1:32" x14ac:dyDescent="0.3">
      <c r="A122">
        <v>1121</v>
      </c>
      <c r="B122" s="2">
        <v>45564</v>
      </c>
      <c r="C122" t="s">
        <v>32</v>
      </c>
      <c r="D122" t="s">
        <v>81</v>
      </c>
      <c r="E122" t="s">
        <v>145</v>
      </c>
      <c r="F122" t="s">
        <v>245</v>
      </c>
      <c r="G122" t="s">
        <v>89</v>
      </c>
      <c r="H122" t="s">
        <v>37</v>
      </c>
      <c r="I122">
        <v>37</v>
      </c>
      <c r="J122" t="s">
        <v>109</v>
      </c>
      <c r="K122" t="s">
        <v>39</v>
      </c>
      <c r="L122" t="s">
        <v>140</v>
      </c>
      <c r="M122" t="s">
        <v>95</v>
      </c>
      <c r="N122">
        <v>3</v>
      </c>
      <c r="O122">
        <v>800</v>
      </c>
      <c r="P122">
        <v>10</v>
      </c>
      <c r="Q122">
        <v>2160</v>
      </c>
      <c r="R122">
        <v>1200</v>
      </c>
      <c r="S122">
        <v>960</v>
      </c>
      <c r="T122" t="s">
        <v>42</v>
      </c>
      <c r="U122">
        <v>4</v>
      </c>
      <c r="V122">
        <v>4</v>
      </c>
      <c r="W122" t="s">
        <v>43</v>
      </c>
      <c r="X122">
        <v>6480</v>
      </c>
      <c r="Y122">
        <v>2024</v>
      </c>
      <c r="Z122">
        <v>9</v>
      </c>
      <c r="AA122">
        <v>29</v>
      </c>
      <c r="AB122" t="s">
        <v>44</v>
      </c>
      <c r="AC122" t="s">
        <v>45</v>
      </c>
      <c r="AD122" t="s">
        <v>46</v>
      </c>
      <c r="AE122" t="s">
        <v>47</v>
      </c>
      <c r="AF122" t="s">
        <v>48</v>
      </c>
    </row>
    <row r="123" spans="1:32" x14ac:dyDescent="0.3">
      <c r="A123">
        <v>1122</v>
      </c>
      <c r="B123" s="2">
        <v>45365</v>
      </c>
      <c r="C123" t="s">
        <v>32</v>
      </c>
      <c r="D123" t="s">
        <v>33</v>
      </c>
      <c r="E123" t="s">
        <v>34</v>
      </c>
      <c r="F123" t="s">
        <v>246</v>
      </c>
      <c r="G123" t="s">
        <v>169</v>
      </c>
      <c r="H123" t="s">
        <v>54</v>
      </c>
      <c r="I123">
        <v>44</v>
      </c>
      <c r="J123" t="s">
        <v>103</v>
      </c>
      <c r="K123" t="s">
        <v>39</v>
      </c>
      <c r="L123" t="s">
        <v>104</v>
      </c>
      <c r="M123" t="s">
        <v>58</v>
      </c>
      <c r="N123">
        <v>5</v>
      </c>
      <c r="O123">
        <v>1200</v>
      </c>
      <c r="P123">
        <v>10</v>
      </c>
      <c r="Q123">
        <v>5400</v>
      </c>
      <c r="R123">
        <v>3500</v>
      </c>
      <c r="S123">
        <v>1900</v>
      </c>
      <c r="T123" t="s">
        <v>42</v>
      </c>
      <c r="U123">
        <v>2</v>
      </c>
      <c r="V123">
        <v>7</v>
      </c>
      <c r="W123" t="s">
        <v>76</v>
      </c>
      <c r="X123">
        <v>27000</v>
      </c>
      <c r="Y123">
        <v>2024</v>
      </c>
      <c r="Z123">
        <v>3</v>
      </c>
      <c r="AA123">
        <v>14</v>
      </c>
      <c r="AB123" t="s">
        <v>135</v>
      </c>
      <c r="AC123" t="s">
        <v>136</v>
      </c>
      <c r="AD123" t="s">
        <v>99</v>
      </c>
      <c r="AE123" t="s">
        <v>100</v>
      </c>
      <c r="AF123" t="s">
        <v>48</v>
      </c>
    </row>
    <row r="124" spans="1:32" x14ac:dyDescent="0.3">
      <c r="A124">
        <v>1123</v>
      </c>
      <c r="B124" s="2">
        <v>45388</v>
      </c>
      <c r="C124" t="s">
        <v>32</v>
      </c>
      <c r="D124" t="s">
        <v>101</v>
      </c>
      <c r="E124" t="s">
        <v>127</v>
      </c>
      <c r="F124" t="s">
        <v>247</v>
      </c>
      <c r="G124" t="s">
        <v>92</v>
      </c>
      <c r="H124" t="s">
        <v>37</v>
      </c>
      <c r="I124">
        <v>53</v>
      </c>
      <c r="J124" t="s">
        <v>38</v>
      </c>
      <c r="K124" t="s">
        <v>39</v>
      </c>
      <c r="L124" t="s">
        <v>64</v>
      </c>
      <c r="M124" t="s">
        <v>41</v>
      </c>
      <c r="N124">
        <v>3</v>
      </c>
      <c r="O124">
        <v>2000</v>
      </c>
      <c r="P124">
        <v>15</v>
      </c>
      <c r="Q124">
        <v>5100</v>
      </c>
      <c r="R124">
        <v>3600</v>
      </c>
      <c r="S124">
        <v>1500</v>
      </c>
      <c r="T124" t="s">
        <v>67</v>
      </c>
      <c r="U124">
        <v>5</v>
      </c>
      <c r="V124">
        <v>3</v>
      </c>
      <c r="W124" t="s">
        <v>43</v>
      </c>
      <c r="X124">
        <v>15300</v>
      </c>
      <c r="Y124">
        <v>2024</v>
      </c>
      <c r="Z124">
        <v>4</v>
      </c>
      <c r="AA124">
        <v>6</v>
      </c>
      <c r="AB124" t="s">
        <v>77</v>
      </c>
      <c r="AC124" t="s">
        <v>78</v>
      </c>
      <c r="AD124" t="s">
        <v>151</v>
      </c>
      <c r="AE124" t="s">
        <v>152</v>
      </c>
      <c r="AF124" t="s">
        <v>48</v>
      </c>
    </row>
    <row r="125" spans="1:32" x14ac:dyDescent="0.3">
      <c r="A125">
        <v>1124</v>
      </c>
      <c r="B125" s="2">
        <v>45373</v>
      </c>
      <c r="C125" t="s">
        <v>49</v>
      </c>
      <c r="D125" t="s">
        <v>33</v>
      </c>
      <c r="E125" t="s">
        <v>34</v>
      </c>
      <c r="F125" t="s">
        <v>248</v>
      </c>
      <c r="G125" t="s">
        <v>36</v>
      </c>
      <c r="H125" t="s">
        <v>54</v>
      </c>
      <c r="I125">
        <v>59</v>
      </c>
      <c r="J125" t="s">
        <v>109</v>
      </c>
      <c r="K125" t="s">
        <v>39</v>
      </c>
      <c r="L125" t="s">
        <v>140</v>
      </c>
      <c r="M125" t="s">
        <v>48</v>
      </c>
      <c r="N125">
        <v>4</v>
      </c>
      <c r="O125">
        <v>800</v>
      </c>
      <c r="P125">
        <v>10</v>
      </c>
      <c r="Q125">
        <v>2880</v>
      </c>
      <c r="R125">
        <v>1600</v>
      </c>
      <c r="S125">
        <v>1280</v>
      </c>
      <c r="T125" t="s">
        <v>42</v>
      </c>
      <c r="U125">
        <v>3</v>
      </c>
      <c r="V125">
        <v>7</v>
      </c>
      <c r="W125" t="s">
        <v>43</v>
      </c>
      <c r="X125">
        <v>11520</v>
      </c>
      <c r="Y125">
        <v>2024</v>
      </c>
      <c r="Z125">
        <v>3</v>
      </c>
      <c r="AA125">
        <v>22</v>
      </c>
      <c r="AB125" t="s">
        <v>115</v>
      </c>
      <c r="AC125" t="s">
        <v>116</v>
      </c>
      <c r="AD125" t="s">
        <v>99</v>
      </c>
      <c r="AE125" t="s">
        <v>100</v>
      </c>
      <c r="AF125" t="s">
        <v>48</v>
      </c>
    </row>
    <row r="126" spans="1:32" x14ac:dyDescent="0.3">
      <c r="A126">
        <v>1125</v>
      </c>
      <c r="B126" s="2">
        <v>46022</v>
      </c>
      <c r="C126" t="s">
        <v>32</v>
      </c>
      <c r="D126" t="s">
        <v>81</v>
      </c>
      <c r="E126" t="s">
        <v>82</v>
      </c>
      <c r="F126" t="s">
        <v>249</v>
      </c>
      <c r="G126" t="s">
        <v>36</v>
      </c>
      <c r="H126" t="s">
        <v>37</v>
      </c>
      <c r="I126">
        <v>20</v>
      </c>
      <c r="J126" t="s">
        <v>98</v>
      </c>
      <c r="K126" t="s">
        <v>56</v>
      </c>
      <c r="L126" t="s">
        <v>140</v>
      </c>
      <c r="M126" t="s">
        <v>95</v>
      </c>
      <c r="N126">
        <v>4</v>
      </c>
      <c r="O126">
        <v>10000</v>
      </c>
      <c r="P126">
        <v>15</v>
      </c>
      <c r="Q126">
        <v>34000</v>
      </c>
      <c r="R126">
        <v>30000</v>
      </c>
      <c r="S126">
        <v>4000</v>
      </c>
      <c r="T126" t="s">
        <v>84</v>
      </c>
      <c r="U126">
        <v>3</v>
      </c>
      <c r="V126">
        <v>1</v>
      </c>
      <c r="W126" t="s">
        <v>43</v>
      </c>
      <c r="X126">
        <v>136000</v>
      </c>
      <c r="Y126">
        <v>2025</v>
      </c>
      <c r="Z126">
        <v>12</v>
      </c>
      <c r="AA126">
        <v>31</v>
      </c>
      <c r="AB126" t="s">
        <v>68</v>
      </c>
      <c r="AC126" t="s">
        <v>69</v>
      </c>
      <c r="AD126" t="s">
        <v>112</v>
      </c>
      <c r="AE126" t="s">
        <v>113</v>
      </c>
      <c r="AF126" t="s">
        <v>87</v>
      </c>
    </row>
    <row r="127" spans="1:32" x14ac:dyDescent="0.3">
      <c r="A127">
        <v>1126</v>
      </c>
      <c r="B127" s="2">
        <v>45961</v>
      </c>
      <c r="C127" t="s">
        <v>107</v>
      </c>
      <c r="D127" t="s">
        <v>101</v>
      </c>
      <c r="E127" t="s">
        <v>127</v>
      </c>
      <c r="F127" t="s">
        <v>250</v>
      </c>
      <c r="G127" t="s">
        <v>123</v>
      </c>
      <c r="H127" t="s">
        <v>54</v>
      </c>
      <c r="I127">
        <v>58</v>
      </c>
      <c r="J127" t="s">
        <v>98</v>
      </c>
      <c r="K127" t="s">
        <v>56</v>
      </c>
      <c r="L127" t="s">
        <v>57</v>
      </c>
      <c r="M127" t="s">
        <v>95</v>
      </c>
      <c r="N127">
        <v>2</v>
      </c>
      <c r="O127">
        <v>10000</v>
      </c>
      <c r="P127">
        <v>10</v>
      </c>
      <c r="Q127">
        <v>18000</v>
      </c>
      <c r="R127">
        <v>15000</v>
      </c>
      <c r="S127">
        <v>3000</v>
      </c>
      <c r="T127" t="s">
        <v>67</v>
      </c>
      <c r="U127">
        <v>5</v>
      </c>
      <c r="V127">
        <v>6</v>
      </c>
      <c r="W127" t="s">
        <v>76</v>
      </c>
      <c r="X127">
        <v>36000</v>
      </c>
      <c r="Y127">
        <v>2025</v>
      </c>
      <c r="Z127">
        <v>10</v>
      </c>
      <c r="AA127">
        <v>31</v>
      </c>
      <c r="AB127" t="s">
        <v>115</v>
      </c>
      <c r="AC127" t="s">
        <v>116</v>
      </c>
      <c r="AD127" t="s">
        <v>125</v>
      </c>
      <c r="AE127" t="s">
        <v>126</v>
      </c>
      <c r="AF127" t="s">
        <v>48</v>
      </c>
    </row>
    <row r="128" spans="1:32" x14ac:dyDescent="0.3">
      <c r="A128">
        <v>1127</v>
      </c>
      <c r="B128" s="2">
        <v>45727</v>
      </c>
      <c r="C128" t="s">
        <v>32</v>
      </c>
      <c r="D128" t="s">
        <v>33</v>
      </c>
      <c r="E128" t="s">
        <v>34</v>
      </c>
      <c r="F128" t="s">
        <v>251</v>
      </c>
      <c r="G128" t="s">
        <v>92</v>
      </c>
      <c r="H128" t="s">
        <v>37</v>
      </c>
      <c r="I128">
        <v>52</v>
      </c>
      <c r="J128" t="s">
        <v>98</v>
      </c>
      <c r="K128" t="s">
        <v>56</v>
      </c>
      <c r="L128" t="s">
        <v>57</v>
      </c>
      <c r="M128" t="s">
        <v>48</v>
      </c>
      <c r="N128">
        <v>2</v>
      </c>
      <c r="O128">
        <v>10000</v>
      </c>
      <c r="P128">
        <v>10</v>
      </c>
      <c r="Q128">
        <v>18000</v>
      </c>
      <c r="R128">
        <v>15000</v>
      </c>
      <c r="S128">
        <v>3000</v>
      </c>
      <c r="T128" t="s">
        <v>67</v>
      </c>
      <c r="U128">
        <v>4</v>
      </c>
      <c r="V128">
        <v>6</v>
      </c>
      <c r="W128" t="s">
        <v>76</v>
      </c>
      <c r="X128">
        <v>36000</v>
      </c>
      <c r="Y128">
        <v>2025</v>
      </c>
      <c r="Z128">
        <v>3</v>
      </c>
      <c r="AA128">
        <v>11</v>
      </c>
      <c r="AB128" t="s">
        <v>59</v>
      </c>
      <c r="AC128" t="s">
        <v>60</v>
      </c>
      <c r="AD128" t="s">
        <v>99</v>
      </c>
      <c r="AE128" t="s">
        <v>100</v>
      </c>
      <c r="AF128" t="s">
        <v>48</v>
      </c>
    </row>
    <row r="129" spans="1:32" x14ac:dyDescent="0.3">
      <c r="A129">
        <v>1128</v>
      </c>
      <c r="B129" s="2">
        <v>45639</v>
      </c>
      <c r="C129" t="s">
        <v>72</v>
      </c>
      <c r="D129" t="s">
        <v>81</v>
      </c>
      <c r="E129" t="s">
        <v>82</v>
      </c>
      <c r="F129" t="s">
        <v>252</v>
      </c>
      <c r="G129" t="s">
        <v>53</v>
      </c>
      <c r="H129" t="s">
        <v>37</v>
      </c>
      <c r="I129">
        <v>21</v>
      </c>
      <c r="J129" t="s">
        <v>103</v>
      </c>
      <c r="K129" t="s">
        <v>39</v>
      </c>
      <c r="L129" t="s">
        <v>140</v>
      </c>
      <c r="M129" t="s">
        <v>41</v>
      </c>
      <c r="N129">
        <v>2</v>
      </c>
      <c r="O129">
        <v>1200</v>
      </c>
      <c r="P129">
        <v>15</v>
      </c>
      <c r="Q129">
        <v>2040</v>
      </c>
      <c r="R129">
        <v>1400</v>
      </c>
      <c r="S129">
        <v>640</v>
      </c>
      <c r="T129" t="s">
        <v>42</v>
      </c>
      <c r="U129">
        <v>4</v>
      </c>
      <c r="V129">
        <v>3</v>
      </c>
      <c r="W129" t="s">
        <v>76</v>
      </c>
      <c r="X129">
        <v>4080</v>
      </c>
      <c r="Y129">
        <v>2024</v>
      </c>
      <c r="Z129">
        <v>12</v>
      </c>
      <c r="AA129">
        <v>13</v>
      </c>
      <c r="AB129" t="s">
        <v>115</v>
      </c>
      <c r="AC129" t="s">
        <v>116</v>
      </c>
      <c r="AD129" t="s">
        <v>112</v>
      </c>
      <c r="AE129" t="s">
        <v>113</v>
      </c>
      <c r="AF129" t="s">
        <v>48</v>
      </c>
    </row>
    <row r="130" spans="1:32" x14ac:dyDescent="0.3">
      <c r="A130">
        <v>1129</v>
      </c>
      <c r="B130" s="2">
        <v>45484</v>
      </c>
      <c r="C130" t="s">
        <v>32</v>
      </c>
      <c r="D130" t="s">
        <v>50</v>
      </c>
      <c r="E130" t="s">
        <v>129</v>
      </c>
      <c r="F130" t="s">
        <v>253</v>
      </c>
      <c r="G130" t="s">
        <v>74</v>
      </c>
      <c r="H130" t="s">
        <v>37</v>
      </c>
      <c r="I130">
        <v>25</v>
      </c>
      <c r="J130" t="s">
        <v>38</v>
      </c>
      <c r="K130" t="s">
        <v>39</v>
      </c>
      <c r="L130" t="s">
        <v>57</v>
      </c>
      <c r="M130" t="s">
        <v>41</v>
      </c>
      <c r="N130">
        <v>1</v>
      </c>
      <c r="O130">
        <v>2000</v>
      </c>
      <c r="P130">
        <v>5</v>
      </c>
      <c r="Q130">
        <v>1900</v>
      </c>
      <c r="R130">
        <v>1200</v>
      </c>
      <c r="S130">
        <v>700</v>
      </c>
      <c r="T130" t="s">
        <v>67</v>
      </c>
      <c r="U130">
        <v>1</v>
      </c>
      <c r="V130">
        <v>7</v>
      </c>
      <c r="W130" t="s">
        <v>76</v>
      </c>
      <c r="X130">
        <v>1900</v>
      </c>
      <c r="Y130">
        <v>2024</v>
      </c>
      <c r="Z130">
        <v>7</v>
      </c>
      <c r="AA130">
        <v>11</v>
      </c>
      <c r="AB130" t="s">
        <v>135</v>
      </c>
      <c r="AC130" t="s">
        <v>136</v>
      </c>
      <c r="AD130" t="s">
        <v>70</v>
      </c>
      <c r="AE130" t="s">
        <v>71</v>
      </c>
      <c r="AF130" t="s">
        <v>48</v>
      </c>
    </row>
    <row r="131" spans="1:32" x14ac:dyDescent="0.3">
      <c r="A131">
        <v>1130</v>
      </c>
      <c r="B131" s="2">
        <v>45603</v>
      </c>
      <c r="C131" t="s">
        <v>32</v>
      </c>
      <c r="D131" t="s">
        <v>33</v>
      </c>
      <c r="E131" t="s">
        <v>34</v>
      </c>
      <c r="F131" t="s">
        <v>254</v>
      </c>
      <c r="G131" t="s">
        <v>169</v>
      </c>
      <c r="H131" t="s">
        <v>54</v>
      </c>
      <c r="I131">
        <v>32</v>
      </c>
      <c r="J131" t="s">
        <v>109</v>
      </c>
      <c r="K131" t="s">
        <v>39</v>
      </c>
      <c r="L131" t="s">
        <v>57</v>
      </c>
      <c r="M131" t="s">
        <v>95</v>
      </c>
      <c r="N131">
        <v>2</v>
      </c>
      <c r="O131">
        <v>800</v>
      </c>
      <c r="P131">
        <v>0</v>
      </c>
      <c r="Q131">
        <v>1600</v>
      </c>
      <c r="R131">
        <v>800</v>
      </c>
      <c r="S131">
        <v>800</v>
      </c>
      <c r="T131" t="s">
        <v>84</v>
      </c>
      <c r="U131">
        <v>4</v>
      </c>
      <c r="V131">
        <v>4</v>
      </c>
      <c r="W131" t="s">
        <v>76</v>
      </c>
      <c r="X131">
        <v>3200</v>
      </c>
      <c r="Y131">
        <v>2024</v>
      </c>
      <c r="Z131">
        <v>11</v>
      </c>
      <c r="AA131">
        <v>7</v>
      </c>
      <c r="AB131" t="s">
        <v>135</v>
      </c>
      <c r="AC131" t="s">
        <v>136</v>
      </c>
      <c r="AD131" t="s">
        <v>137</v>
      </c>
      <c r="AE131" t="s">
        <v>138</v>
      </c>
      <c r="AF131" t="s">
        <v>87</v>
      </c>
    </row>
    <row r="132" spans="1:32" x14ac:dyDescent="0.3">
      <c r="A132">
        <v>1131</v>
      </c>
      <c r="B132" s="2">
        <v>45618</v>
      </c>
      <c r="C132" t="s">
        <v>107</v>
      </c>
      <c r="D132" t="s">
        <v>33</v>
      </c>
      <c r="E132" t="s">
        <v>34</v>
      </c>
      <c r="F132" t="s">
        <v>255</v>
      </c>
      <c r="G132" t="s">
        <v>53</v>
      </c>
      <c r="H132" t="s">
        <v>54</v>
      </c>
      <c r="I132">
        <v>27</v>
      </c>
      <c r="J132" t="s">
        <v>134</v>
      </c>
      <c r="K132" t="s">
        <v>56</v>
      </c>
      <c r="L132" t="s">
        <v>64</v>
      </c>
      <c r="M132" t="s">
        <v>58</v>
      </c>
      <c r="N132">
        <v>5</v>
      </c>
      <c r="O132">
        <v>30000</v>
      </c>
      <c r="P132">
        <v>10</v>
      </c>
      <c r="Q132">
        <v>135000</v>
      </c>
      <c r="R132">
        <v>110000</v>
      </c>
      <c r="S132">
        <v>25000</v>
      </c>
      <c r="T132" t="s">
        <v>105</v>
      </c>
      <c r="U132">
        <v>3</v>
      </c>
      <c r="V132">
        <v>2</v>
      </c>
      <c r="W132" t="s">
        <v>43</v>
      </c>
      <c r="X132">
        <v>675000</v>
      </c>
      <c r="Y132">
        <v>2024</v>
      </c>
      <c r="Z132">
        <v>11</v>
      </c>
      <c r="AA132">
        <v>22</v>
      </c>
      <c r="AB132" t="s">
        <v>115</v>
      </c>
      <c r="AC132" t="s">
        <v>116</v>
      </c>
      <c r="AD132" t="s">
        <v>137</v>
      </c>
      <c r="AE132" t="s">
        <v>138</v>
      </c>
      <c r="AF132" t="s">
        <v>106</v>
      </c>
    </row>
    <row r="133" spans="1:32" x14ac:dyDescent="0.3">
      <c r="A133">
        <v>1132</v>
      </c>
      <c r="B133" s="2">
        <v>45632</v>
      </c>
      <c r="C133" t="s">
        <v>32</v>
      </c>
      <c r="D133" t="s">
        <v>51</v>
      </c>
      <c r="E133" t="s">
        <v>51</v>
      </c>
      <c r="F133" t="s">
        <v>256</v>
      </c>
      <c r="G133" t="s">
        <v>154</v>
      </c>
      <c r="H133" t="s">
        <v>37</v>
      </c>
      <c r="I133">
        <v>45</v>
      </c>
      <c r="J133" t="s">
        <v>134</v>
      </c>
      <c r="K133" t="s">
        <v>56</v>
      </c>
      <c r="L133" t="s">
        <v>40</v>
      </c>
      <c r="M133" t="s">
        <v>48</v>
      </c>
      <c r="N133">
        <v>1</v>
      </c>
      <c r="O133">
        <v>30000</v>
      </c>
      <c r="P133">
        <v>10</v>
      </c>
      <c r="Q133">
        <v>27000</v>
      </c>
      <c r="R133">
        <v>22000</v>
      </c>
      <c r="S133">
        <v>5000</v>
      </c>
      <c r="T133" t="s">
        <v>105</v>
      </c>
      <c r="U133">
        <v>5</v>
      </c>
      <c r="V133">
        <v>1</v>
      </c>
      <c r="W133" t="s">
        <v>76</v>
      </c>
      <c r="X133">
        <v>27000</v>
      </c>
      <c r="Y133">
        <v>2024</v>
      </c>
      <c r="Z133">
        <v>12</v>
      </c>
      <c r="AA133">
        <v>6</v>
      </c>
      <c r="AB133" t="s">
        <v>115</v>
      </c>
      <c r="AC133" t="s">
        <v>116</v>
      </c>
      <c r="AD133" t="s">
        <v>112</v>
      </c>
      <c r="AE133" t="s">
        <v>113</v>
      </c>
      <c r="AF133" t="s">
        <v>106</v>
      </c>
    </row>
    <row r="134" spans="1:32" x14ac:dyDescent="0.3">
      <c r="A134">
        <v>1133</v>
      </c>
      <c r="B134" s="2">
        <v>45930</v>
      </c>
      <c r="C134" t="s">
        <v>49</v>
      </c>
      <c r="D134" t="s">
        <v>51</v>
      </c>
      <c r="E134" t="s">
        <v>51</v>
      </c>
      <c r="F134" t="s">
        <v>257</v>
      </c>
      <c r="G134" t="s">
        <v>74</v>
      </c>
      <c r="H134" t="s">
        <v>54</v>
      </c>
      <c r="I134">
        <v>35</v>
      </c>
      <c r="J134" t="s">
        <v>90</v>
      </c>
      <c r="K134" t="s">
        <v>56</v>
      </c>
      <c r="L134" t="s">
        <v>40</v>
      </c>
      <c r="M134" t="s">
        <v>48</v>
      </c>
      <c r="N134">
        <v>3</v>
      </c>
      <c r="O134">
        <v>25000</v>
      </c>
      <c r="P134">
        <v>5</v>
      </c>
      <c r="Q134">
        <v>71250</v>
      </c>
      <c r="R134">
        <v>54000</v>
      </c>
      <c r="S134">
        <v>17250</v>
      </c>
      <c r="T134" t="s">
        <v>84</v>
      </c>
      <c r="U134">
        <v>1</v>
      </c>
      <c r="V134">
        <v>4</v>
      </c>
      <c r="W134" t="s">
        <v>76</v>
      </c>
      <c r="X134">
        <v>213750</v>
      </c>
      <c r="Y134">
        <v>2025</v>
      </c>
      <c r="Z134">
        <v>9</v>
      </c>
      <c r="AA134">
        <v>30</v>
      </c>
      <c r="AB134" t="s">
        <v>59</v>
      </c>
      <c r="AC134" t="s">
        <v>60</v>
      </c>
      <c r="AD134" t="s">
        <v>46</v>
      </c>
      <c r="AE134" t="s">
        <v>47</v>
      </c>
      <c r="AF134" t="s">
        <v>87</v>
      </c>
    </row>
    <row r="135" spans="1:32" x14ac:dyDescent="0.3">
      <c r="A135">
        <v>1134</v>
      </c>
      <c r="B135" s="2">
        <v>45632</v>
      </c>
      <c r="C135" t="s">
        <v>107</v>
      </c>
      <c r="D135" t="s">
        <v>51</v>
      </c>
      <c r="E135" t="s">
        <v>51</v>
      </c>
      <c r="F135" t="s">
        <v>258</v>
      </c>
      <c r="G135" t="s">
        <v>118</v>
      </c>
      <c r="H135" t="s">
        <v>54</v>
      </c>
      <c r="I135">
        <v>25</v>
      </c>
      <c r="J135" t="s">
        <v>55</v>
      </c>
      <c r="K135" t="s">
        <v>56</v>
      </c>
      <c r="L135" t="s">
        <v>104</v>
      </c>
      <c r="M135" t="s">
        <v>95</v>
      </c>
      <c r="N135">
        <v>1</v>
      </c>
      <c r="O135">
        <v>15000</v>
      </c>
      <c r="P135">
        <v>0</v>
      </c>
      <c r="Q135">
        <v>15000</v>
      </c>
      <c r="R135">
        <v>11000</v>
      </c>
      <c r="S135">
        <v>4000</v>
      </c>
      <c r="T135" t="s">
        <v>67</v>
      </c>
      <c r="U135">
        <v>1</v>
      </c>
      <c r="V135">
        <v>6</v>
      </c>
      <c r="W135" t="s">
        <v>76</v>
      </c>
      <c r="X135">
        <v>15000</v>
      </c>
      <c r="Y135">
        <v>2024</v>
      </c>
      <c r="Z135">
        <v>12</v>
      </c>
      <c r="AA135">
        <v>6</v>
      </c>
      <c r="AB135" t="s">
        <v>115</v>
      </c>
      <c r="AC135" t="s">
        <v>116</v>
      </c>
      <c r="AD135" t="s">
        <v>112</v>
      </c>
      <c r="AE135" t="s">
        <v>113</v>
      </c>
      <c r="AF135" t="s">
        <v>48</v>
      </c>
    </row>
    <row r="136" spans="1:32" x14ac:dyDescent="0.3">
      <c r="A136">
        <v>1135</v>
      </c>
      <c r="B136" s="2">
        <v>45949</v>
      </c>
      <c r="C136" t="s">
        <v>107</v>
      </c>
      <c r="D136" t="s">
        <v>51</v>
      </c>
      <c r="E136" t="s">
        <v>51</v>
      </c>
      <c r="F136" t="s">
        <v>259</v>
      </c>
      <c r="G136" t="s">
        <v>118</v>
      </c>
      <c r="H136" t="s">
        <v>37</v>
      </c>
      <c r="I136">
        <v>28</v>
      </c>
      <c r="J136" t="s">
        <v>65</v>
      </c>
      <c r="K136" t="s">
        <v>56</v>
      </c>
      <c r="L136" t="s">
        <v>104</v>
      </c>
      <c r="M136" t="s">
        <v>58</v>
      </c>
      <c r="N136">
        <v>4</v>
      </c>
      <c r="O136">
        <v>55000</v>
      </c>
      <c r="P136">
        <v>15</v>
      </c>
      <c r="Q136">
        <v>187000</v>
      </c>
      <c r="R136">
        <v>168000</v>
      </c>
      <c r="S136">
        <v>19000</v>
      </c>
      <c r="T136" t="s">
        <v>67</v>
      </c>
      <c r="U136">
        <v>5</v>
      </c>
      <c r="V136">
        <v>8</v>
      </c>
      <c r="W136" t="s">
        <v>43</v>
      </c>
      <c r="X136">
        <v>748000</v>
      </c>
      <c r="Y136">
        <v>2025</v>
      </c>
      <c r="Z136">
        <v>10</v>
      </c>
      <c r="AA136">
        <v>19</v>
      </c>
      <c r="AB136" t="s">
        <v>44</v>
      </c>
      <c r="AC136" t="s">
        <v>45</v>
      </c>
      <c r="AD136" t="s">
        <v>125</v>
      </c>
      <c r="AE136" t="s">
        <v>126</v>
      </c>
      <c r="AF136" t="s">
        <v>48</v>
      </c>
    </row>
    <row r="137" spans="1:32" x14ac:dyDescent="0.3">
      <c r="A137">
        <v>1136</v>
      </c>
      <c r="B137" s="2">
        <v>45447</v>
      </c>
      <c r="C137" t="s">
        <v>32</v>
      </c>
      <c r="D137" t="s">
        <v>81</v>
      </c>
      <c r="E137" t="s">
        <v>82</v>
      </c>
      <c r="F137" t="s">
        <v>260</v>
      </c>
      <c r="G137" t="s">
        <v>118</v>
      </c>
      <c r="H137" t="s">
        <v>54</v>
      </c>
      <c r="I137">
        <v>32</v>
      </c>
      <c r="J137" t="s">
        <v>38</v>
      </c>
      <c r="K137" t="s">
        <v>39</v>
      </c>
      <c r="L137" t="s">
        <v>124</v>
      </c>
      <c r="M137" t="s">
        <v>48</v>
      </c>
      <c r="N137">
        <v>3</v>
      </c>
      <c r="O137">
        <v>2000</v>
      </c>
      <c r="P137">
        <v>0</v>
      </c>
      <c r="Q137">
        <v>6000</v>
      </c>
      <c r="R137">
        <v>3600</v>
      </c>
      <c r="S137">
        <v>2400</v>
      </c>
      <c r="T137" t="s">
        <v>105</v>
      </c>
      <c r="U137">
        <v>1</v>
      </c>
      <c r="V137">
        <v>5</v>
      </c>
      <c r="W137" t="s">
        <v>76</v>
      </c>
      <c r="X137">
        <v>18000</v>
      </c>
      <c r="Y137">
        <v>2024</v>
      </c>
      <c r="Z137">
        <v>6</v>
      </c>
      <c r="AA137">
        <v>4</v>
      </c>
      <c r="AB137" t="s">
        <v>59</v>
      </c>
      <c r="AC137" t="s">
        <v>60</v>
      </c>
      <c r="AD137" t="s">
        <v>85</v>
      </c>
      <c r="AE137" t="s">
        <v>86</v>
      </c>
      <c r="AF137" t="s">
        <v>106</v>
      </c>
    </row>
    <row r="138" spans="1:32" x14ac:dyDescent="0.3">
      <c r="A138">
        <v>1137</v>
      </c>
      <c r="B138" s="2">
        <v>45648</v>
      </c>
      <c r="C138" t="s">
        <v>72</v>
      </c>
      <c r="D138" t="s">
        <v>33</v>
      </c>
      <c r="E138" t="s">
        <v>34</v>
      </c>
      <c r="F138" t="s">
        <v>261</v>
      </c>
      <c r="G138" t="s">
        <v>118</v>
      </c>
      <c r="H138" t="s">
        <v>37</v>
      </c>
      <c r="I138">
        <v>57</v>
      </c>
      <c r="J138" t="s">
        <v>109</v>
      </c>
      <c r="K138" t="s">
        <v>39</v>
      </c>
      <c r="L138" t="s">
        <v>140</v>
      </c>
      <c r="M138" t="s">
        <v>48</v>
      </c>
      <c r="N138">
        <v>3</v>
      </c>
      <c r="O138">
        <v>800</v>
      </c>
      <c r="P138">
        <v>0</v>
      </c>
      <c r="Q138">
        <v>2400</v>
      </c>
      <c r="R138">
        <v>1200</v>
      </c>
      <c r="S138">
        <v>1200</v>
      </c>
      <c r="T138" t="s">
        <v>67</v>
      </c>
      <c r="U138">
        <v>5</v>
      </c>
      <c r="V138">
        <v>8</v>
      </c>
      <c r="W138" t="s">
        <v>76</v>
      </c>
      <c r="X138">
        <v>7200</v>
      </c>
      <c r="Y138">
        <v>2024</v>
      </c>
      <c r="Z138">
        <v>12</v>
      </c>
      <c r="AA138">
        <v>22</v>
      </c>
      <c r="AB138" t="s">
        <v>44</v>
      </c>
      <c r="AC138" t="s">
        <v>45</v>
      </c>
      <c r="AD138" t="s">
        <v>112</v>
      </c>
      <c r="AE138" t="s">
        <v>113</v>
      </c>
      <c r="AF138" t="s">
        <v>48</v>
      </c>
    </row>
    <row r="139" spans="1:32" x14ac:dyDescent="0.3">
      <c r="A139">
        <v>1138</v>
      </c>
      <c r="B139" s="2">
        <v>45483</v>
      </c>
      <c r="C139" t="s">
        <v>72</v>
      </c>
      <c r="D139" t="s">
        <v>33</v>
      </c>
      <c r="E139" t="s">
        <v>34</v>
      </c>
      <c r="F139" t="s">
        <v>262</v>
      </c>
      <c r="G139" t="s">
        <v>154</v>
      </c>
      <c r="H139" t="s">
        <v>54</v>
      </c>
      <c r="I139">
        <v>52</v>
      </c>
      <c r="J139" t="s">
        <v>90</v>
      </c>
      <c r="K139" t="s">
        <v>56</v>
      </c>
      <c r="L139" t="s">
        <v>40</v>
      </c>
      <c r="M139" t="s">
        <v>48</v>
      </c>
      <c r="N139">
        <v>2</v>
      </c>
      <c r="O139">
        <v>25000</v>
      </c>
      <c r="P139">
        <v>5</v>
      </c>
      <c r="Q139">
        <v>47500</v>
      </c>
      <c r="R139">
        <v>36000</v>
      </c>
      <c r="S139">
        <v>11500</v>
      </c>
      <c r="T139" t="s">
        <v>105</v>
      </c>
      <c r="U139">
        <v>3</v>
      </c>
      <c r="V139">
        <v>4</v>
      </c>
      <c r="W139" t="s">
        <v>43</v>
      </c>
      <c r="X139">
        <v>95000</v>
      </c>
      <c r="Y139">
        <v>2024</v>
      </c>
      <c r="Z139">
        <v>7</v>
      </c>
      <c r="AA139">
        <v>10</v>
      </c>
      <c r="AB139" t="s">
        <v>68</v>
      </c>
      <c r="AC139" t="s">
        <v>69</v>
      </c>
      <c r="AD139" t="s">
        <v>70</v>
      </c>
      <c r="AE139" t="s">
        <v>71</v>
      </c>
      <c r="AF139" t="s">
        <v>106</v>
      </c>
    </row>
    <row r="140" spans="1:32" x14ac:dyDescent="0.3">
      <c r="A140">
        <v>1139</v>
      </c>
      <c r="B140" s="2">
        <v>45473</v>
      </c>
      <c r="C140" t="s">
        <v>72</v>
      </c>
      <c r="D140" t="s">
        <v>51</v>
      </c>
      <c r="E140" t="s">
        <v>51</v>
      </c>
      <c r="F140" t="s">
        <v>263</v>
      </c>
      <c r="G140" t="s">
        <v>123</v>
      </c>
      <c r="H140" t="s">
        <v>54</v>
      </c>
      <c r="I140">
        <v>22</v>
      </c>
      <c r="J140" t="s">
        <v>38</v>
      </c>
      <c r="K140" t="s">
        <v>39</v>
      </c>
      <c r="L140" t="s">
        <v>57</v>
      </c>
      <c r="M140" t="s">
        <v>58</v>
      </c>
      <c r="N140">
        <v>2</v>
      </c>
      <c r="O140">
        <v>2000</v>
      </c>
      <c r="P140">
        <v>5</v>
      </c>
      <c r="Q140">
        <v>3800</v>
      </c>
      <c r="R140">
        <v>2400</v>
      </c>
      <c r="S140">
        <v>1400</v>
      </c>
      <c r="T140" t="s">
        <v>67</v>
      </c>
      <c r="U140">
        <v>5</v>
      </c>
      <c r="V140">
        <v>3</v>
      </c>
      <c r="W140" t="s">
        <v>76</v>
      </c>
      <c r="X140">
        <v>7600</v>
      </c>
      <c r="Y140">
        <v>2024</v>
      </c>
      <c r="Z140">
        <v>6</v>
      </c>
      <c r="AA140">
        <v>30</v>
      </c>
      <c r="AB140" t="s">
        <v>44</v>
      </c>
      <c r="AC140" t="s">
        <v>45</v>
      </c>
      <c r="AD140" t="s">
        <v>85</v>
      </c>
      <c r="AE140" t="s">
        <v>86</v>
      </c>
      <c r="AF140" t="s">
        <v>48</v>
      </c>
    </row>
    <row r="141" spans="1:32" x14ac:dyDescent="0.3">
      <c r="A141">
        <v>1140</v>
      </c>
      <c r="B141" s="2">
        <v>45566</v>
      </c>
      <c r="C141" t="s">
        <v>32</v>
      </c>
      <c r="D141" t="s">
        <v>101</v>
      </c>
      <c r="E141" t="s">
        <v>127</v>
      </c>
      <c r="F141" t="s">
        <v>264</v>
      </c>
      <c r="G141" t="s">
        <v>154</v>
      </c>
      <c r="H141" t="s">
        <v>37</v>
      </c>
      <c r="I141">
        <v>38</v>
      </c>
      <c r="J141" t="s">
        <v>38</v>
      </c>
      <c r="K141" t="s">
        <v>39</v>
      </c>
      <c r="L141" t="s">
        <v>124</v>
      </c>
      <c r="M141" t="s">
        <v>48</v>
      </c>
      <c r="N141">
        <v>4</v>
      </c>
      <c r="O141">
        <v>2000</v>
      </c>
      <c r="P141">
        <v>10</v>
      </c>
      <c r="Q141">
        <v>7200</v>
      </c>
      <c r="R141">
        <v>4800</v>
      </c>
      <c r="S141">
        <v>2400</v>
      </c>
      <c r="T141" t="s">
        <v>67</v>
      </c>
      <c r="U141">
        <v>4</v>
      </c>
      <c r="V141">
        <v>1</v>
      </c>
      <c r="W141" t="s">
        <v>76</v>
      </c>
      <c r="X141">
        <v>28800</v>
      </c>
      <c r="Y141">
        <v>2024</v>
      </c>
      <c r="Z141">
        <v>10</v>
      </c>
      <c r="AA141">
        <v>1</v>
      </c>
      <c r="AB141" t="s">
        <v>59</v>
      </c>
      <c r="AC141" t="s">
        <v>60</v>
      </c>
      <c r="AD141" t="s">
        <v>125</v>
      </c>
      <c r="AE141" t="s">
        <v>126</v>
      </c>
      <c r="AF141" t="s">
        <v>48</v>
      </c>
    </row>
    <row r="142" spans="1:32" x14ac:dyDescent="0.3">
      <c r="A142">
        <v>1141</v>
      </c>
      <c r="B142" s="2">
        <v>45959</v>
      </c>
      <c r="C142" t="s">
        <v>49</v>
      </c>
      <c r="D142" t="s">
        <v>50</v>
      </c>
      <c r="E142" t="s">
        <v>51</v>
      </c>
      <c r="F142" t="s">
        <v>265</v>
      </c>
      <c r="G142" t="s">
        <v>64</v>
      </c>
      <c r="H142" t="s">
        <v>54</v>
      </c>
      <c r="I142">
        <v>37</v>
      </c>
      <c r="J142" t="s">
        <v>134</v>
      </c>
      <c r="K142" t="s">
        <v>56</v>
      </c>
      <c r="L142" t="s">
        <v>104</v>
      </c>
      <c r="M142" t="s">
        <v>58</v>
      </c>
      <c r="N142">
        <v>1</v>
      </c>
      <c r="O142">
        <v>30000</v>
      </c>
      <c r="P142">
        <v>15</v>
      </c>
      <c r="Q142">
        <v>25500</v>
      </c>
      <c r="R142">
        <v>22000</v>
      </c>
      <c r="S142">
        <v>3500</v>
      </c>
      <c r="T142" t="s">
        <v>42</v>
      </c>
      <c r="U142">
        <v>2</v>
      </c>
      <c r="V142">
        <v>5</v>
      </c>
      <c r="W142" t="s">
        <v>43</v>
      </c>
      <c r="X142">
        <v>25500</v>
      </c>
      <c r="Y142">
        <v>2025</v>
      </c>
      <c r="Z142">
        <v>10</v>
      </c>
      <c r="AA142">
        <v>29</v>
      </c>
      <c r="AB142" t="s">
        <v>68</v>
      </c>
      <c r="AC142" t="s">
        <v>69</v>
      </c>
      <c r="AD142" t="s">
        <v>125</v>
      </c>
      <c r="AE142" t="s">
        <v>126</v>
      </c>
      <c r="AF142" t="s">
        <v>48</v>
      </c>
    </row>
    <row r="143" spans="1:32" x14ac:dyDescent="0.3">
      <c r="A143">
        <v>1142</v>
      </c>
      <c r="B143" s="2">
        <v>45466</v>
      </c>
      <c r="C143" t="s">
        <v>49</v>
      </c>
      <c r="D143" t="s">
        <v>50</v>
      </c>
      <c r="E143" t="s">
        <v>51</v>
      </c>
      <c r="F143" t="s">
        <v>266</v>
      </c>
      <c r="G143" t="s">
        <v>36</v>
      </c>
      <c r="H143" t="s">
        <v>54</v>
      </c>
      <c r="I143">
        <v>50</v>
      </c>
      <c r="J143" t="s">
        <v>98</v>
      </c>
      <c r="K143" t="s">
        <v>56</v>
      </c>
      <c r="L143" t="s">
        <v>64</v>
      </c>
      <c r="M143" t="s">
        <v>48</v>
      </c>
      <c r="N143">
        <v>2</v>
      </c>
      <c r="O143">
        <v>10000</v>
      </c>
      <c r="P143">
        <v>15</v>
      </c>
      <c r="Q143">
        <v>17000</v>
      </c>
      <c r="R143">
        <v>15000</v>
      </c>
      <c r="S143">
        <v>2000</v>
      </c>
      <c r="T143" t="s">
        <v>67</v>
      </c>
      <c r="U143">
        <v>1</v>
      </c>
      <c r="V143">
        <v>3</v>
      </c>
      <c r="W143" t="s">
        <v>76</v>
      </c>
      <c r="X143">
        <v>34000</v>
      </c>
      <c r="Y143">
        <v>2024</v>
      </c>
      <c r="Z143">
        <v>6</v>
      </c>
      <c r="AA143">
        <v>23</v>
      </c>
      <c r="AB143" t="s">
        <v>44</v>
      </c>
      <c r="AC143" t="s">
        <v>45</v>
      </c>
      <c r="AD143" t="s">
        <v>85</v>
      </c>
      <c r="AE143" t="s">
        <v>86</v>
      </c>
      <c r="AF143" t="s">
        <v>48</v>
      </c>
    </row>
    <row r="144" spans="1:32" x14ac:dyDescent="0.3">
      <c r="A144">
        <v>1143</v>
      </c>
      <c r="B144" s="2">
        <v>45462</v>
      </c>
      <c r="C144" t="s">
        <v>32</v>
      </c>
      <c r="D144" t="s">
        <v>101</v>
      </c>
      <c r="E144" t="s">
        <v>127</v>
      </c>
      <c r="F144" t="s">
        <v>267</v>
      </c>
      <c r="G144" t="s">
        <v>89</v>
      </c>
      <c r="H144" t="s">
        <v>54</v>
      </c>
      <c r="I144">
        <v>39</v>
      </c>
      <c r="J144" t="s">
        <v>55</v>
      </c>
      <c r="K144" t="s">
        <v>56</v>
      </c>
      <c r="L144" t="s">
        <v>124</v>
      </c>
      <c r="M144" t="s">
        <v>41</v>
      </c>
      <c r="N144">
        <v>3</v>
      </c>
      <c r="O144">
        <v>15000</v>
      </c>
      <c r="P144">
        <v>0</v>
      </c>
      <c r="Q144">
        <v>45000</v>
      </c>
      <c r="R144">
        <v>33000</v>
      </c>
      <c r="S144">
        <v>12000</v>
      </c>
      <c r="T144" t="s">
        <v>42</v>
      </c>
      <c r="U144">
        <v>1</v>
      </c>
      <c r="V144">
        <v>7</v>
      </c>
      <c r="W144" t="s">
        <v>76</v>
      </c>
      <c r="X144">
        <v>135000</v>
      </c>
      <c r="Y144">
        <v>2024</v>
      </c>
      <c r="Z144">
        <v>6</v>
      </c>
      <c r="AA144">
        <v>19</v>
      </c>
      <c r="AB144" t="s">
        <v>68</v>
      </c>
      <c r="AC144" t="s">
        <v>69</v>
      </c>
      <c r="AD144" t="s">
        <v>85</v>
      </c>
      <c r="AE144" t="s">
        <v>86</v>
      </c>
      <c r="AF144" t="s">
        <v>48</v>
      </c>
    </row>
    <row r="145" spans="1:32" x14ac:dyDescent="0.3">
      <c r="A145">
        <v>1144</v>
      </c>
      <c r="B145" s="2">
        <v>45799</v>
      </c>
      <c r="C145" t="s">
        <v>32</v>
      </c>
      <c r="D145" t="s">
        <v>101</v>
      </c>
      <c r="E145" t="s">
        <v>127</v>
      </c>
      <c r="F145" t="s">
        <v>268</v>
      </c>
      <c r="G145" t="s">
        <v>64</v>
      </c>
      <c r="H145" t="s">
        <v>37</v>
      </c>
      <c r="I145">
        <v>41</v>
      </c>
      <c r="J145" t="s">
        <v>65</v>
      </c>
      <c r="K145" t="s">
        <v>56</v>
      </c>
      <c r="L145" t="s">
        <v>140</v>
      </c>
      <c r="M145" t="s">
        <v>95</v>
      </c>
      <c r="N145">
        <v>5</v>
      </c>
      <c r="O145">
        <v>55000</v>
      </c>
      <c r="P145">
        <v>10</v>
      </c>
      <c r="Q145">
        <v>247500</v>
      </c>
      <c r="R145">
        <v>210000</v>
      </c>
      <c r="S145">
        <v>37500</v>
      </c>
      <c r="T145" t="s">
        <v>67</v>
      </c>
      <c r="U145">
        <v>1</v>
      </c>
      <c r="V145">
        <v>6</v>
      </c>
      <c r="W145" t="s">
        <v>76</v>
      </c>
      <c r="X145">
        <v>1237500</v>
      </c>
      <c r="Y145">
        <v>2025</v>
      </c>
      <c r="Z145">
        <v>5</v>
      </c>
      <c r="AA145">
        <v>22</v>
      </c>
      <c r="AB145" t="s">
        <v>135</v>
      </c>
      <c r="AC145" t="s">
        <v>136</v>
      </c>
      <c r="AD145" t="s">
        <v>96</v>
      </c>
      <c r="AE145" t="s">
        <v>96</v>
      </c>
      <c r="AF145" t="s">
        <v>48</v>
      </c>
    </row>
    <row r="146" spans="1:32" x14ac:dyDescent="0.3">
      <c r="A146">
        <v>1145</v>
      </c>
      <c r="B146" s="2">
        <v>45841</v>
      </c>
      <c r="C146" t="s">
        <v>107</v>
      </c>
      <c r="D146" t="s">
        <v>33</v>
      </c>
      <c r="E146" t="s">
        <v>34</v>
      </c>
      <c r="F146" t="s">
        <v>269</v>
      </c>
      <c r="G146" t="s">
        <v>118</v>
      </c>
      <c r="H146" t="s">
        <v>54</v>
      </c>
      <c r="I146">
        <v>34</v>
      </c>
      <c r="J146" t="s">
        <v>90</v>
      </c>
      <c r="K146" t="s">
        <v>56</v>
      </c>
      <c r="L146" t="s">
        <v>75</v>
      </c>
      <c r="M146" t="s">
        <v>95</v>
      </c>
      <c r="N146">
        <v>2</v>
      </c>
      <c r="O146">
        <v>25000</v>
      </c>
      <c r="P146">
        <v>15</v>
      </c>
      <c r="Q146">
        <v>42500</v>
      </c>
      <c r="R146">
        <v>36000</v>
      </c>
      <c r="S146">
        <v>6500</v>
      </c>
      <c r="T146" t="s">
        <v>42</v>
      </c>
      <c r="U146">
        <v>3</v>
      </c>
      <c r="V146">
        <v>8</v>
      </c>
      <c r="W146" t="s">
        <v>43</v>
      </c>
      <c r="X146">
        <v>85000</v>
      </c>
      <c r="Y146">
        <v>2025</v>
      </c>
      <c r="Z146">
        <v>7</v>
      </c>
      <c r="AA146">
        <v>3</v>
      </c>
      <c r="AB146" t="s">
        <v>135</v>
      </c>
      <c r="AC146" t="s">
        <v>136</v>
      </c>
      <c r="AD146" t="s">
        <v>70</v>
      </c>
      <c r="AE146" t="s">
        <v>71</v>
      </c>
      <c r="AF146" t="s">
        <v>48</v>
      </c>
    </row>
    <row r="147" spans="1:32" x14ac:dyDescent="0.3">
      <c r="A147">
        <v>1146</v>
      </c>
      <c r="B147" s="2">
        <v>45881</v>
      </c>
      <c r="C147" t="s">
        <v>49</v>
      </c>
      <c r="D147" t="s">
        <v>101</v>
      </c>
      <c r="E147" t="s">
        <v>127</v>
      </c>
      <c r="F147" t="s">
        <v>270</v>
      </c>
      <c r="G147" t="s">
        <v>154</v>
      </c>
      <c r="H147" t="s">
        <v>37</v>
      </c>
      <c r="I147">
        <v>60</v>
      </c>
      <c r="J147" t="s">
        <v>98</v>
      </c>
      <c r="K147" t="s">
        <v>56</v>
      </c>
      <c r="L147" t="s">
        <v>64</v>
      </c>
      <c r="M147" t="s">
        <v>41</v>
      </c>
      <c r="N147">
        <v>4</v>
      </c>
      <c r="O147">
        <v>10000</v>
      </c>
      <c r="P147">
        <v>0</v>
      </c>
      <c r="Q147">
        <v>40000</v>
      </c>
      <c r="R147">
        <v>30000</v>
      </c>
      <c r="S147">
        <v>10000</v>
      </c>
      <c r="T147" t="s">
        <v>42</v>
      </c>
      <c r="U147">
        <v>3</v>
      </c>
      <c r="V147">
        <v>5</v>
      </c>
      <c r="W147" t="s">
        <v>43</v>
      </c>
      <c r="X147">
        <v>160000</v>
      </c>
      <c r="Y147">
        <v>2025</v>
      </c>
      <c r="Z147">
        <v>8</v>
      </c>
      <c r="AA147">
        <v>12</v>
      </c>
      <c r="AB147" t="s">
        <v>59</v>
      </c>
      <c r="AC147" t="s">
        <v>60</v>
      </c>
      <c r="AD147" t="s">
        <v>61</v>
      </c>
      <c r="AE147" t="s">
        <v>62</v>
      </c>
      <c r="AF147" t="s">
        <v>48</v>
      </c>
    </row>
    <row r="148" spans="1:32" x14ac:dyDescent="0.3">
      <c r="A148">
        <v>1147</v>
      </c>
      <c r="B148" s="2">
        <v>45577</v>
      </c>
      <c r="C148" t="s">
        <v>72</v>
      </c>
      <c r="D148" t="s">
        <v>101</v>
      </c>
      <c r="E148" t="s">
        <v>51</v>
      </c>
      <c r="F148" t="s">
        <v>271</v>
      </c>
      <c r="G148" t="s">
        <v>123</v>
      </c>
      <c r="H148" t="s">
        <v>54</v>
      </c>
      <c r="I148">
        <v>46</v>
      </c>
      <c r="J148" t="s">
        <v>65</v>
      </c>
      <c r="K148" t="s">
        <v>56</v>
      </c>
      <c r="L148" t="s">
        <v>75</v>
      </c>
      <c r="M148" t="s">
        <v>58</v>
      </c>
      <c r="N148">
        <v>5</v>
      </c>
      <c r="O148">
        <v>55000</v>
      </c>
      <c r="P148">
        <v>5</v>
      </c>
      <c r="Q148">
        <v>261250</v>
      </c>
      <c r="R148">
        <v>210000</v>
      </c>
      <c r="S148">
        <v>51250</v>
      </c>
      <c r="T148" t="s">
        <v>84</v>
      </c>
      <c r="U148">
        <v>2</v>
      </c>
      <c r="V148">
        <v>8</v>
      </c>
      <c r="W148" t="s">
        <v>76</v>
      </c>
      <c r="X148">
        <v>1306250</v>
      </c>
      <c r="Y148">
        <v>2024</v>
      </c>
      <c r="Z148">
        <v>10</v>
      </c>
      <c r="AA148">
        <v>12</v>
      </c>
      <c r="AB148" t="s">
        <v>77</v>
      </c>
      <c r="AC148" t="s">
        <v>78</v>
      </c>
      <c r="AD148" t="s">
        <v>125</v>
      </c>
      <c r="AE148" t="s">
        <v>126</v>
      </c>
      <c r="AF148" t="s">
        <v>87</v>
      </c>
    </row>
    <row r="149" spans="1:32" x14ac:dyDescent="0.3">
      <c r="A149">
        <v>1148</v>
      </c>
      <c r="B149" s="2">
        <v>45812</v>
      </c>
      <c r="C149" t="s">
        <v>107</v>
      </c>
      <c r="D149" t="s">
        <v>101</v>
      </c>
      <c r="E149" t="s">
        <v>51</v>
      </c>
      <c r="F149" t="s">
        <v>272</v>
      </c>
      <c r="G149" t="s">
        <v>123</v>
      </c>
      <c r="H149" t="s">
        <v>54</v>
      </c>
      <c r="I149">
        <v>21</v>
      </c>
      <c r="J149" t="s">
        <v>134</v>
      </c>
      <c r="K149" t="s">
        <v>56</v>
      </c>
      <c r="L149" t="s">
        <v>66</v>
      </c>
      <c r="M149" t="s">
        <v>95</v>
      </c>
      <c r="N149">
        <v>5</v>
      </c>
      <c r="O149">
        <v>30000</v>
      </c>
      <c r="P149">
        <v>5</v>
      </c>
      <c r="Q149">
        <v>142500</v>
      </c>
      <c r="R149">
        <v>110000</v>
      </c>
      <c r="S149">
        <v>32500</v>
      </c>
      <c r="T149" t="s">
        <v>105</v>
      </c>
      <c r="U149">
        <v>5</v>
      </c>
      <c r="V149">
        <v>4</v>
      </c>
      <c r="W149" t="s">
        <v>76</v>
      </c>
      <c r="X149">
        <v>712500</v>
      </c>
      <c r="Y149">
        <v>2025</v>
      </c>
      <c r="Z149">
        <v>6</v>
      </c>
      <c r="AA149">
        <v>4</v>
      </c>
      <c r="AB149" t="s">
        <v>68</v>
      </c>
      <c r="AC149" t="s">
        <v>69</v>
      </c>
      <c r="AD149" t="s">
        <v>85</v>
      </c>
      <c r="AE149" t="s">
        <v>86</v>
      </c>
      <c r="AF149" t="s">
        <v>106</v>
      </c>
    </row>
    <row r="150" spans="1:32" x14ac:dyDescent="0.3">
      <c r="A150">
        <v>1149</v>
      </c>
      <c r="B150" s="2">
        <v>45511</v>
      </c>
      <c r="C150" t="s">
        <v>49</v>
      </c>
      <c r="D150" t="s">
        <v>101</v>
      </c>
      <c r="E150" t="s">
        <v>127</v>
      </c>
      <c r="F150" t="s">
        <v>273</v>
      </c>
      <c r="G150" t="s">
        <v>92</v>
      </c>
      <c r="H150" t="s">
        <v>54</v>
      </c>
      <c r="I150">
        <v>41</v>
      </c>
      <c r="J150" t="s">
        <v>55</v>
      </c>
      <c r="K150" t="s">
        <v>56</v>
      </c>
      <c r="L150" t="s">
        <v>104</v>
      </c>
      <c r="M150" t="s">
        <v>58</v>
      </c>
      <c r="N150">
        <v>2</v>
      </c>
      <c r="O150">
        <v>15000</v>
      </c>
      <c r="P150">
        <v>15</v>
      </c>
      <c r="Q150">
        <v>25500</v>
      </c>
      <c r="R150">
        <v>22000</v>
      </c>
      <c r="S150">
        <v>3500</v>
      </c>
      <c r="T150" t="s">
        <v>67</v>
      </c>
      <c r="U150">
        <v>4</v>
      </c>
      <c r="V150">
        <v>7</v>
      </c>
      <c r="W150" t="s">
        <v>43</v>
      </c>
      <c r="X150">
        <v>51000</v>
      </c>
      <c r="Y150">
        <v>2024</v>
      </c>
      <c r="Z150">
        <v>8</v>
      </c>
      <c r="AA150">
        <v>7</v>
      </c>
      <c r="AB150" t="s">
        <v>68</v>
      </c>
      <c r="AC150" t="s">
        <v>69</v>
      </c>
      <c r="AD150" t="s">
        <v>61</v>
      </c>
      <c r="AE150" t="s">
        <v>62</v>
      </c>
      <c r="AF150" t="s">
        <v>48</v>
      </c>
    </row>
    <row r="151" spans="1:32" x14ac:dyDescent="0.3">
      <c r="A151">
        <v>1150</v>
      </c>
      <c r="B151" s="2">
        <v>45850</v>
      </c>
      <c r="C151" t="s">
        <v>107</v>
      </c>
      <c r="D151" t="s">
        <v>81</v>
      </c>
      <c r="E151" t="s">
        <v>82</v>
      </c>
      <c r="F151" t="s">
        <v>274</v>
      </c>
      <c r="G151" t="s">
        <v>169</v>
      </c>
      <c r="H151" t="s">
        <v>37</v>
      </c>
      <c r="I151">
        <v>57</v>
      </c>
      <c r="J151" t="s">
        <v>98</v>
      </c>
      <c r="K151" t="s">
        <v>56</v>
      </c>
      <c r="L151" t="s">
        <v>104</v>
      </c>
      <c r="M151" t="s">
        <v>58</v>
      </c>
      <c r="N151">
        <v>2</v>
      </c>
      <c r="O151">
        <v>10000</v>
      </c>
      <c r="P151">
        <v>0</v>
      </c>
      <c r="Q151">
        <v>20000</v>
      </c>
      <c r="R151">
        <v>15000</v>
      </c>
      <c r="S151">
        <v>5000</v>
      </c>
      <c r="T151" t="s">
        <v>84</v>
      </c>
      <c r="U151">
        <v>4</v>
      </c>
      <c r="V151">
        <v>7</v>
      </c>
      <c r="W151" t="s">
        <v>43</v>
      </c>
      <c r="X151">
        <v>40000</v>
      </c>
      <c r="Y151">
        <v>2025</v>
      </c>
      <c r="Z151">
        <v>7</v>
      </c>
      <c r="AA151">
        <v>12</v>
      </c>
      <c r="AB151" t="s">
        <v>77</v>
      </c>
      <c r="AC151" t="s">
        <v>78</v>
      </c>
      <c r="AD151" t="s">
        <v>70</v>
      </c>
      <c r="AE151" t="s">
        <v>71</v>
      </c>
      <c r="AF151" t="s">
        <v>87</v>
      </c>
    </row>
    <row r="152" spans="1:32" x14ac:dyDescent="0.3">
      <c r="A152">
        <v>1151</v>
      </c>
      <c r="B152" s="2">
        <v>45681</v>
      </c>
      <c r="C152" t="s">
        <v>72</v>
      </c>
      <c r="D152" t="s">
        <v>81</v>
      </c>
      <c r="E152" t="s">
        <v>82</v>
      </c>
      <c r="F152" t="s">
        <v>275</v>
      </c>
      <c r="G152" t="s">
        <v>36</v>
      </c>
      <c r="H152" t="s">
        <v>54</v>
      </c>
      <c r="I152">
        <v>52</v>
      </c>
      <c r="J152" t="s">
        <v>103</v>
      </c>
      <c r="K152" t="s">
        <v>39</v>
      </c>
      <c r="L152" t="s">
        <v>140</v>
      </c>
      <c r="M152" t="s">
        <v>41</v>
      </c>
      <c r="N152">
        <v>5</v>
      </c>
      <c r="O152">
        <v>1200</v>
      </c>
      <c r="P152">
        <v>15</v>
      </c>
      <c r="Q152">
        <v>5100</v>
      </c>
      <c r="R152">
        <v>3500</v>
      </c>
      <c r="S152">
        <v>1600</v>
      </c>
      <c r="T152" t="s">
        <v>42</v>
      </c>
      <c r="U152">
        <v>4</v>
      </c>
      <c r="V152">
        <v>3</v>
      </c>
      <c r="W152" t="s">
        <v>43</v>
      </c>
      <c r="X152">
        <v>25500</v>
      </c>
      <c r="Y152">
        <v>2025</v>
      </c>
      <c r="Z152">
        <v>1</v>
      </c>
      <c r="AA152">
        <v>24</v>
      </c>
      <c r="AB152" t="s">
        <v>115</v>
      </c>
      <c r="AC152" t="s">
        <v>116</v>
      </c>
      <c r="AD152" t="s">
        <v>119</v>
      </c>
      <c r="AE152" t="s">
        <v>120</v>
      </c>
      <c r="AF152" t="s">
        <v>48</v>
      </c>
    </row>
    <row r="153" spans="1:32" x14ac:dyDescent="0.3">
      <c r="A153">
        <v>1152</v>
      </c>
      <c r="B153" s="2">
        <v>45940</v>
      </c>
      <c r="C153" t="s">
        <v>32</v>
      </c>
      <c r="D153" t="s">
        <v>51</v>
      </c>
      <c r="E153" t="s">
        <v>51</v>
      </c>
      <c r="F153" t="s">
        <v>276</v>
      </c>
      <c r="G153" t="s">
        <v>169</v>
      </c>
      <c r="H153" t="s">
        <v>37</v>
      </c>
      <c r="I153">
        <v>21</v>
      </c>
      <c r="J153" t="s">
        <v>90</v>
      </c>
      <c r="K153" t="s">
        <v>56</v>
      </c>
      <c r="L153" t="s">
        <v>64</v>
      </c>
      <c r="M153" t="s">
        <v>48</v>
      </c>
      <c r="N153">
        <v>3</v>
      </c>
      <c r="O153">
        <v>25000</v>
      </c>
      <c r="P153">
        <v>5</v>
      </c>
      <c r="Q153">
        <v>71250</v>
      </c>
      <c r="R153">
        <v>54000</v>
      </c>
      <c r="S153">
        <v>17250</v>
      </c>
      <c r="T153" t="s">
        <v>84</v>
      </c>
      <c r="U153">
        <v>2</v>
      </c>
      <c r="V153">
        <v>6</v>
      </c>
      <c r="W153" t="s">
        <v>43</v>
      </c>
      <c r="X153">
        <v>213750</v>
      </c>
      <c r="Y153">
        <v>2025</v>
      </c>
      <c r="Z153">
        <v>10</v>
      </c>
      <c r="AA153">
        <v>10</v>
      </c>
      <c r="AB153" t="s">
        <v>115</v>
      </c>
      <c r="AC153" t="s">
        <v>116</v>
      </c>
      <c r="AD153" t="s">
        <v>125</v>
      </c>
      <c r="AE153" t="s">
        <v>126</v>
      </c>
      <c r="AF153" t="s">
        <v>87</v>
      </c>
    </row>
    <row r="154" spans="1:32" x14ac:dyDescent="0.3">
      <c r="A154">
        <v>1153</v>
      </c>
      <c r="B154" s="2">
        <v>45426</v>
      </c>
      <c r="C154" t="s">
        <v>72</v>
      </c>
      <c r="D154" t="s">
        <v>51</v>
      </c>
      <c r="E154" t="s">
        <v>51</v>
      </c>
      <c r="F154" t="s">
        <v>277</v>
      </c>
      <c r="G154" t="s">
        <v>92</v>
      </c>
      <c r="H154" t="s">
        <v>37</v>
      </c>
      <c r="I154">
        <v>30</v>
      </c>
      <c r="J154" t="s">
        <v>38</v>
      </c>
      <c r="K154" t="s">
        <v>39</v>
      </c>
      <c r="L154" t="s">
        <v>75</v>
      </c>
      <c r="M154" t="s">
        <v>41</v>
      </c>
      <c r="N154">
        <v>5</v>
      </c>
      <c r="O154">
        <v>2000</v>
      </c>
      <c r="P154">
        <v>5</v>
      </c>
      <c r="Q154">
        <v>9500</v>
      </c>
      <c r="R154">
        <v>6000</v>
      </c>
      <c r="S154">
        <v>3500</v>
      </c>
      <c r="T154" t="s">
        <v>84</v>
      </c>
      <c r="U154">
        <v>4</v>
      </c>
      <c r="V154">
        <v>6</v>
      </c>
      <c r="W154" t="s">
        <v>43</v>
      </c>
      <c r="X154">
        <v>47500</v>
      </c>
      <c r="Y154">
        <v>2024</v>
      </c>
      <c r="Z154">
        <v>5</v>
      </c>
      <c r="AA154">
        <v>14</v>
      </c>
      <c r="AB154" t="s">
        <v>59</v>
      </c>
      <c r="AC154" t="s">
        <v>60</v>
      </c>
      <c r="AD154" t="s">
        <v>96</v>
      </c>
      <c r="AE154" t="s">
        <v>96</v>
      </c>
      <c r="AF154" t="s">
        <v>87</v>
      </c>
    </row>
    <row r="155" spans="1:32" x14ac:dyDescent="0.3">
      <c r="A155">
        <v>1154</v>
      </c>
      <c r="B155" s="2">
        <v>45444</v>
      </c>
      <c r="C155" t="s">
        <v>107</v>
      </c>
      <c r="D155" t="s">
        <v>101</v>
      </c>
      <c r="E155" t="s">
        <v>51</v>
      </c>
      <c r="F155" t="s">
        <v>278</v>
      </c>
      <c r="G155" t="s">
        <v>64</v>
      </c>
      <c r="H155" t="s">
        <v>54</v>
      </c>
      <c r="I155">
        <v>45</v>
      </c>
      <c r="J155" t="s">
        <v>109</v>
      </c>
      <c r="K155" t="s">
        <v>39</v>
      </c>
      <c r="L155" t="s">
        <v>75</v>
      </c>
      <c r="M155" t="s">
        <v>58</v>
      </c>
      <c r="N155">
        <v>1</v>
      </c>
      <c r="O155">
        <v>800</v>
      </c>
      <c r="P155">
        <v>0</v>
      </c>
      <c r="Q155">
        <v>800</v>
      </c>
      <c r="R155">
        <v>400</v>
      </c>
      <c r="S155">
        <v>400</v>
      </c>
      <c r="T155" t="s">
        <v>67</v>
      </c>
      <c r="U155">
        <v>1</v>
      </c>
      <c r="V155">
        <v>7</v>
      </c>
      <c r="W155" t="s">
        <v>76</v>
      </c>
      <c r="X155">
        <v>800</v>
      </c>
      <c r="Y155">
        <v>2024</v>
      </c>
      <c r="Z155">
        <v>6</v>
      </c>
      <c r="AA155">
        <v>1</v>
      </c>
      <c r="AB155" t="s">
        <v>77</v>
      </c>
      <c r="AC155" t="s">
        <v>78</v>
      </c>
      <c r="AD155" t="s">
        <v>85</v>
      </c>
      <c r="AE155" t="s">
        <v>86</v>
      </c>
      <c r="AF155" t="s">
        <v>48</v>
      </c>
    </row>
    <row r="156" spans="1:32" x14ac:dyDescent="0.3">
      <c r="A156">
        <v>1155</v>
      </c>
      <c r="B156" s="2">
        <v>45954</v>
      </c>
      <c r="C156" t="s">
        <v>49</v>
      </c>
      <c r="D156" t="s">
        <v>50</v>
      </c>
      <c r="E156" t="s">
        <v>129</v>
      </c>
      <c r="F156" t="s">
        <v>279</v>
      </c>
      <c r="G156" t="s">
        <v>89</v>
      </c>
      <c r="H156" t="s">
        <v>54</v>
      </c>
      <c r="I156">
        <v>36</v>
      </c>
      <c r="J156" t="s">
        <v>98</v>
      </c>
      <c r="K156" t="s">
        <v>56</v>
      </c>
      <c r="L156" t="s">
        <v>40</v>
      </c>
      <c r="M156" t="s">
        <v>48</v>
      </c>
      <c r="N156">
        <v>2</v>
      </c>
      <c r="O156">
        <v>10000</v>
      </c>
      <c r="P156">
        <v>5</v>
      </c>
      <c r="Q156">
        <v>19000</v>
      </c>
      <c r="R156">
        <v>15000</v>
      </c>
      <c r="S156">
        <v>4000</v>
      </c>
      <c r="T156" t="s">
        <v>67</v>
      </c>
      <c r="U156">
        <v>1</v>
      </c>
      <c r="V156">
        <v>4</v>
      </c>
      <c r="W156" t="s">
        <v>43</v>
      </c>
      <c r="X156">
        <v>38000</v>
      </c>
      <c r="Y156">
        <v>2025</v>
      </c>
      <c r="Z156">
        <v>10</v>
      </c>
      <c r="AA156">
        <v>24</v>
      </c>
      <c r="AB156" t="s">
        <v>115</v>
      </c>
      <c r="AC156" t="s">
        <v>116</v>
      </c>
      <c r="AD156" t="s">
        <v>125</v>
      </c>
      <c r="AE156" t="s">
        <v>126</v>
      </c>
      <c r="AF156" t="s">
        <v>48</v>
      </c>
    </row>
    <row r="157" spans="1:32" x14ac:dyDescent="0.3">
      <c r="A157">
        <v>1156</v>
      </c>
      <c r="B157" s="2">
        <v>45320</v>
      </c>
      <c r="C157" t="s">
        <v>107</v>
      </c>
      <c r="D157" t="s">
        <v>101</v>
      </c>
      <c r="E157" t="s">
        <v>127</v>
      </c>
      <c r="F157" t="s">
        <v>280</v>
      </c>
      <c r="G157" t="s">
        <v>36</v>
      </c>
      <c r="H157" t="s">
        <v>37</v>
      </c>
      <c r="I157">
        <v>48</v>
      </c>
      <c r="J157" t="s">
        <v>55</v>
      </c>
      <c r="K157" t="s">
        <v>56</v>
      </c>
      <c r="L157" t="s">
        <v>57</v>
      </c>
      <c r="M157" t="s">
        <v>41</v>
      </c>
      <c r="N157">
        <v>3</v>
      </c>
      <c r="O157">
        <v>15000</v>
      </c>
      <c r="P157">
        <v>15</v>
      </c>
      <c r="Q157">
        <v>38250</v>
      </c>
      <c r="R157">
        <v>33000</v>
      </c>
      <c r="S157">
        <v>5250</v>
      </c>
      <c r="T157" t="s">
        <v>42</v>
      </c>
      <c r="U157">
        <v>5</v>
      </c>
      <c r="V157">
        <v>6</v>
      </c>
      <c r="W157" t="s">
        <v>76</v>
      </c>
      <c r="X157">
        <v>114750</v>
      </c>
      <c r="Y157">
        <v>2024</v>
      </c>
      <c r="Z157">
        <v>1</v>
      </c>
      <c r="AA157">
        <v>29</v>
      </c>
      <c r="AB157" t="s">
        <v>110</v>
      </c>
      <c r="AC157" t="s">
        <v>111</v>
      </c>
      <c r="AD157" t="s">
        <v>119</v>
      </c>
      <c r="AE157" t="s">
        <v>120</v>
      </c>
      <c r="AF157" t="s">
        <v>48</v>
      </c>
    </row>
    <row r="158" spans="1:32" x14ac:dyDescent="0.3">
      <c r="A158">
        <v>1157</v>
      </c>
      <c r="B158" s="2">
        <v>45445</v>
      </c>
      <c r="C158" t="s">
        <v>107</v>
      </c>
      <c r="D158" t="s">
        <v>33</v>
      </c>
      <c r="E158" t="s">
        <v>34</v>
      </c>
      <c r="F158" t="s">
        <v>281</v>
      </c>
      <c r="G158" t="s">
        <v>64</v>
      </c>
      <c r="H158" t="s">
        <v>54</v>
      </c>
      <c r="I158">
        <v>59</v>
      </c>
      <c r="J158" t="s">
        <v>103</v>
      </c>
      <c r="K158" t="s">
        <v>39</v>
      </c>
      <c r="L158" t="s">
        <v>64</v>
      </c>
      <c r="M158" t="s">
        <v>95</v>
      </c>
      <c r="N158">
        <v>1</v>
      </c>
      <c r="O158">
        <v>1200</v>
      </c>
      <c r="P158">
        <v>0</v>
      </c>
      <c r="Q158">
        <v>1200</v>
      </c>
      <c r="R158">
        <v>700</v>
      </c>
      <c r="S158">
        <v>500</v>
      </c>
      <c r="T158" t="s">
        <v>67</v>
      </c>
      <c r="U158">
        <v>2</v>
      </c>
      <c r="V158">
        <v>7</v>
      </c>
      <c r="W158" t="s">
        <v>43</v>
      </c>
      <c r="X158">
        <v>1200</v>
      </c>
      <c r="Y158">
        <v>2024</v>
      </c>
      <c r="Z158">
        <v>6</v>
      </c>
      <c r="AA158">
        <v>2</v>
      </c>
      <c r="AB158" t="s">
        <v>44</v>
      </c>
      <c r="AC158" t="s">
        <v>45</v>
      </c>
      <c r="AD158" t="s">
        <v>85</v>
      </c>
      <c r="AE158" t="s">
        <v>86</v>
      </c>
      <c r="AF158" t="s">
        <v>48</v>
      </c>
    </row>
    <row r="159" spans="1:32" x14ac:dyDescent="0.3">
      <c r="A159">
        <v>1158</v>
      </c>
      <c r="B159" s="2">
        <v>45511</v>
      </c>
      <c r="C159" t="s">
        <v>72</v>
      </c>
      <c r="D159" t="s">
        <v>33</v>
      </c>
      <c r="E159" t="s">
        <v>34</v>
      </c>
      <c r="F159" t="s">
        <v>282</v>
      </c>
      <c r="G159" t="s">
        <v>53</v>
      </c>
      <c r="H159" t="s">
        <v>54</v>
      </c>
      <c r="I159">
        <v>27</v>
      </c>
      <c r="J159" t="s">
        <v>103</v>
      </c>
      <c r="K159" t="s">
        <v>39</v>
      </c>
      <c r="L159" t="s">
        <v>57</v>
      </c>
      <c r="M159" t="s">
        <v>95</v>
      </c>
      <c r="N159">
        <v>5</v>
      </c>
      <c r="O159">
        <v>1200</v>
      </c>
      <c r="P159">
        <v>5</v>
      </c>
      <c r="Q159">
        <v>5700</v>
      </c>
      <c r="R159">
        <v>3500</v>
      </c>
      <c r="S159">
        <v>2200</v>
      </c>
      <c r="T159" t="s">
        <v>105</v>
      </c>
      <c r="U159">
        <v>4</v>
      </c>
      <c r="V159">
        <v>8</v>
      </c>
      <c r="W159" t="s">
        <v>43</v>
      </c>
      <c r="X159">
        <v>28500</v>
      </c>
      <c r="Y159">
        <v>2024</v>
      </c>
      <c r="Z159">
        <v>8</v>
      </c>
      <c r="AA159">
        <v>7</v>
      </c>
      <c r="AB159" t="s">
        <v>68</v>
      </c>
      <c r="AC159" t="s">
        <v>69</v>
      </c>
      <c r="AD159" t="s">
        <v>61</v>
      </c>
      <c r="AE159" t="s">
        <v>62</v>
      </c>
      <c r="AF159" t="s">
        <v>106</v>
      </c>
    </row>
    <row r="160" spans="1:32" x14ac:dyDescent="0.3">
      <c r="A160">
        <v>1159</v>
      </c>
      <c r="B160" s="2">
        <v>45322</v>
      </c>
      <c r="C160" t="s">
        <v>72</v>
      </c>
      <c r="D160" t="s">
        <v>81</v>
      </c>
      <c r="E160" t="s">
        <v>82</v>
      </c>
      <c r="F160" t="s">
        <v>283</v>
      </c>
      <c r="G160" t="s">
        <v>118</v>
      </c>
      <c r="H160" t="s">
        <v>54</v>
      </c>
      <c r="I160">
        <v>45</v>
      </c>
      <c r="J160" t="s">
        <v>38</v>
      </c>
      <c r="K160" t="s">
        <v>39</v>
      </c>
      <c r="L160" t="s">
        <v>140</v>
      </c>
      <c r="M160" t="s">
        <v>95</v>
      </c>
      <c r="N160">
        <v>2</v>
      </c>
      <c r="O160">
        <v>2000</v>
      </c>
      <c r="P160">
        <v>15</v>
      </c>
      <c r="Q160">
        <v>3400</v>
      </c>
      <c r="R160">
        <v>2400</v>
      </c>
      <c r="S160">
        <v>1000</v>
      </c>
      <c r="T160" t="s">
        <v>42</v>
      </c>
      <c r="U160">
        <v>1</v>
      </c>
      <c r="V160">
        <v>3</v>
      </c>
      <c r="W160" t="s">
        <v>76</v>
      </c>
      <c r="X160">
        <v>6800</v>
      </c>
      <c r="Y160">
        <v>2024</v>
      </c>
      <c r="Z160">
        <v>1</v>
      </c>
      <c r="AA160">
        <v>31</v>
      </c>
      <c r="AB160" t="s">
        <v>68</v>
      </c>
      <c r="AC160" t="s">
        <v>69</v>
      </c>
      <c r="AD160" t="s">
        <v>119</v>
      </c>
      <c r="AE160" t="s">
        <v>120</v>
      </c>
      <c r="AF160" t="s">
        <v>48</v>
      </c>
    </row>
    <row r="161" spans="1:32" x14ac:dyDescent="0.3">
      <c r="A161">
        <v>1160</v>
      </c>
      <c r="B161" s="2">
        <v>45677</v>
      </c>
      <c r="C161" t="s">
        <v>32</v>
      </c>
      <c r="D161" t="s">
        <v>101</v>
      </c>
      <c r="E161" t="s">
        <v>127</v>
      </c>
      <c r="F161" t="s">
        <v>284</v>
      </c>
      <c r="G161" t="s">
        <v>64</v>
      </c>
      <c r="H161" t="s">
        <v>37</v>
      </c>
      <c r="I161">
        <v>40</v>
      </c>
      <c r="J161" t="s">
        <v>38</v>
      </c>
      <c r="K161" t="s">
        <v>39</v>
      </c>
      <c r="L161" t="s">
        <v>124</v>
      </c>
      <c r="M161" t="s">
        <v>41</v>
      </c>
      <c r="N161">
        <v>2</v>
      </c>
      <c r="O161">
        <v>2000</v>
      </c>
      <c r="P161">
        <v>0</v>
      </c>
      <c r="Q161">
        <v>4000</v>
      </c>
      <c r="R161">
        <v>2400</v>
      </c>
      <c r="S161">
        <v>1600</v>
      </c>
      <c r="T161" t="s">
        <v>42</v>
      </c>
      <c r="U161">
        <v>2</v>
      </c>
      <c r="V161">
        <v>8</v>
      </c>
      <c r="W161" t="s">
        <v>43</v>
      </c>
      <c r="X161">
        <v>8000</v>
      </c>
      <c r="Y161">
        <v>2025</v>
      </c>
      <c r="Z161">
        <v>1</v>
      </c>
      <c r="AA161">
        <v>20</v>
      </c>
      <c r="AB161" t="s">
        <v>110</v>
      </c>
      <c r="AC161" t="s">
        <v>111</v>
      </c>
      <c r="AD161" t="s">
        <v>119</v>
      </c>
      <c r="AE161" t="s">
        <v>120</v>
      </c>
      <c r="AF161" t="s">
        <v>48</v>
      </c>
    </row>
    <row r="162" spans="1:32" x14ac:dyDescent="0.3">
      <c r="A162">
        <v>1161</v>
      </c>
      <c r="B162" s="2">
        <v>45868</v>
      </c>
      <c r="C162" t="s">
        <v>32</v>
      </c>
      <c r="D162" t="s">
        <v>33</v>
      </c>
      <c r="E162" t="s">
        <v>34</v>
      </c>
      <c r="F162" t="s">
        <v>285</v>
      </c>
      <c r="G162" t="s">
        <v>118</v>
      </c>
      <c r="H162" t="s">
        <v>37</v>
      </c>
      <c r="I162">
        <v>31</v>
      </c>
      <c r="J162" t="s">
        <v>134</v>
      </c>
      <c r="K162" t="s">
        <v>56</v>
      </c>
      <c r="L162" t="s">
        <v>66</v>
      </c>
      <c r="M162" t="s">
        <v>95</v>
      </c>
      <c r="N162">
        <v>4</v>
      </c>
      <c r="O162">
        <v>30000</v>
      </c>
      <c r="P162">
        <v>10</v>
      </c>
      <c r="Q162">
        <v>108000</v>
      </c>
      <c r="R162">
        <v>88000</v>
      </c>
      <c r="S162">
        <v>20000</v>
      </c>
      <c r="T162" t="s">
        <v>84</v>
      </c>
      <c r="U162">
        <v>4</v>
      </c>
      <c r="V162">
        <v>4</v>
      </c>
      <c r="W162" t="s">
        <v>76</v>
      </c>
      <c r="X162">
        <v>432000</v>
      </c>
      <c r="Y162">
        <v>2025</v>
      </c>
      <c r="Z162">
        <v>7</v>
      </c>
      <c r="AA162">
        <v>30</v>
      </c>
      <c r="AB162" t="s">
        <v>68</v>
      </c>
      <c r="AC162" t="s">
        <v>69</v>
      </c>
      <c r="AD162" t="s">
        <v>70</v>
      </c>
      <c r="AE162" t="s">
        <v>71</v>
      </c>
      <c r="AF162" t="s">
        <v>87</v>
      </c>
    </row>
    <row r="163" spans="1:32" x14ac:dyDescent="0.3">
      <c r="A163">
        <v>1162</v>
      </c>
      <c r="B163" s="2">
        <v>45463</v>
      </c>
      <c r="C163" t="s">
        <v>49</v>
      </c>
      <c r="D163" t="s">
        <v>81</v>
      </c>
      <c r="E163" t="s">
        <v>145</v>
      </c>
      <c r="F163" t="s">
        <v>286</v>
      </c>
      <c r="G163" t="s">
        <v>154</v>
      </c>
      <c r="H163" t="s">
        <v>54</v>
      </c>
      <c r="I163">
        <v>56</v>
      </c>
      <c r="J163" t="s">
        <v>90</v>
      </c>
      <c r="K163" t="s">
        <v>56</v>
      </c>
      <c r="L163" t="s">
        <v>124</v>
      </c>
      <c r="M163" t="s">
        <v>95</v>
      </c>
      <c r="N163">
        <v>5</v>
      </c>
      <c r="O163">
        <v>25000</v>
      </c>
      <c r="P163">
        <v>0</v>
      </c>
      <c r="Q163">
        <v>125000</v>
      </c>
      <c r="R163">
        <v>90000</v>
      </c>
      <c r="S163">
        <v>35000</v>
      </c>
      <c r="T163" t="s">
        <v>105</v>
      </c>
      <c r="U163">
        <v>4</v>
      </c>
      <c r="V163">
        <v>3</v>
      </c>
      <c r="W163" t="s">
        <v>43</v>
      </c>
      <c r="X163">
        <v>625000</v>
      </c>
      <c r="Y163">
        <v>2024</v>
      </c>
      <c r="Z163">
        <v>6</v>
      </c>
      <c r="AA163">
        <v>20</v>
      </c>
      <c r="AB163" t="s">
        <v>135</v>
      </c>
      <c r="AC163" t="s">
        <v>136</v>
      </c>
      <c r="AD163" t="s">
        <v>85</v>
      </c>
      <c r="AE163" t="s">
        <v>86</v>
      </c>
      <c r="AF163" t="s">
        <v>106</v>
      </c>
    </row>
    <row r="164" spans="1:32" x14ac:dyDescent="0.3">
      <c r="A164">
        <v>1163</v>
      </c>
      <c r="B164" s="2">
        <v>45697</v>
      </c>
      <c r="C164" t="s">
        <v>49</v>
      </c>
      <c r="D164" t="s">
        <v>81</v>
      </c>
      <c r="E164" t="s">
        <v>82</v>
      </c>
      <c r="F164" t="s">
        <v>287</v>
      </c>
      <c r="G164" t="s">
        <v>92</v>
      </c>
      <c r="H164" t="s">
        <v>37</v>
      </c>
      <c r="I164">
        <v>48</v>
      </c>
      <c r="J164" t="s">
        <v>38</v>
      </c>
      <c r="K164" t="s">
        <v>39</v>
      </c>
      <c r="L164" t="s">
        <v>57</v>
      </c>
      <c r="M164" t="s">
        <v>95</v>
      </c>
      <c r="N164">
        <v>1</v>
      </c>
      <c r="O164">
        <v>2000</v>
      </c>
      <c r="P164">
        <v>15</v>
      </c>
      <c r="Q164">
        <v>1700</v>
      </c>
      <c r="R164">
        <v>1200</v>
      </c>
      <c r="S164">
        <v>500</v>
      </c>
      <c r="T164" t="s">
        <v>67</v>
      </c>
      <c r="U164">
        <v>4</v>
      </c>
      <c r="V164">
        <v>7</v>
      </c>
      <c r="W164" t="s">
        <v>43</v>
      </c>
      <c r="X164">
        <v>1700</v>
      </c>
      <c r="Y164">
        <v>2025</v>
      </c>
      <c r="Z164">
        <v>2</v>
      </c>
      <c r="AA164">
        <v>9</v>
      </c>
      <c r="AB164" t="s">
        <v>44</v>
      </c>
      <c r="AC164" t="s">
        <v>45</v>
      </c>
      <c r="AD164" t="s">
        <v>79</v>
      </c>
      <c r="AE164" t="s">
        <v>80</v>
      </c>
      <c r="AF164" t="s">
        <v>48</v>
      </c>
    </row>
    <row r="165" spans="1:32" x14ac:dyDescent="0.3">
      <c r="A165">
        <v>1164</v>
      </c>
      <c r="B165" s="2">
        <v>45318</v>
      </c>
      <c r="C165" t="s">
        <v>72</v>
      </c>
      <c r="D165" t="s">
        <v>101</v>
      </c>
      <c r="E165" t="s">
        <v>51</v>
      </c>
      <c r="F165" t="s">
        <v>288</v>
      </c>
      <c r="G165" t="s">
        <v>89</v>
      </c>
      <c r="H165" t="s">
        <v>54</v>
      </c>
      <c r="I165">
        <v>29</v>
      </c>
      <c r="J165" t="s">
        <v>38</v>
      </c>
      <c r="K165" t="s">
        <v>39</v>
      </c>
      <c r="L165" t="s">
        <v>124</v>
      </c>
      <c r="M165" t="s">
        <v>58</v>
      </c>
      <c r="N165">
        <v>2</v>
      </c>
      <c r="O165">
        <v>2000</v>
      </c>
      <c r="P165">
        <v>10</v>
      </c>
      <c r="Q165">
        <v>3600</v>
      </c>
      <c r="R165">
        <v>2400</v>
      </c>
      <c r="S165">
        <v>1200</v>
      </c>
      <c r="T165" t="s">
        <v>105</v>
      </c>
      <c r="U165">
        <v>3</v>
      </c>
      <c r="V165">
        <v>1</v>
      </c>
      <c r="W165" t="s">
        <v>43</v>
      </c>
      <c r="X165">
        <v>7200</v>
      </c>
      <c r="Y165">
        <v>2024</v>
      </c>
      <c r="Z165">
        <v>1</v>
      </c>
      <c r="AA165">
        <v>27</v>
      </c>
      <c r="AB165" t="s">
        <v>77</v>
      </c>
      <c r="AC165" t="s">
        <v>78</v>
      </c>
      <c r="AD165" t="s">
        <v>119</v>
      </c>
      <c r="AE165" t="s">
        <v>120</v>
      </c>
      <c r="AF165" t="s">
        <v>106</v>
      </c>
    </row>
    <row r="166" spans="1:32" x14ac:dyDescent="0.3">
      <c r="A166">
        <v>1165</v>
      </c>
      <c r="B166" s="2">
        <v>45625</v>
      </c>
      <c r="C166" t="s">
        <v>107</v>
      </c>
      <c r="D166" t="s">
        <v>101</v>
      </c>
      <c r="E166" t="s">
        <v>51</v>
      </c>
      <c r="F166" t="s">
        <v>289</v>
      </c>
      <c r="G166" t="s">
        <v>123</v>
      </c>
      <c r="H166" t="s">
        <v>54</v>
      </c>
      <c r="I166">
        <v>50</v>
      </c>
      <c r="J166" t="s">
        <v>98</v>
      </c>
      <c r="K166" t="s">
        <v>56</v>
      </c>
      <c r="L166" t="s">
        <v>124</v>
      </c>
      <c r="M166" t="s">
        <v>58</v>
      </c>
      <c r="N166">
        <v>1</v>
      </c>
      <c r="O166">
        <v>10000</v>
      </c>
      <c r="P166">
        <v>15</v>
      </c>
      <c r="Q166">
        <v>8500</v>
      </c>
      <c r="R166">
        <v>7500</v>
      </c>
      <c r="S166">
        <v>1000</v>
      </c>
      <c r="T166" t="s">
        <v>42</v>
      </c>
      <c r="U166">
        <v>1</v>
      </c>
      <c r="V166">
        <v>5</v>
      </c>
      <c r="W166" t="s">
        <v>76</v>
      </c>
      <c r="X166">
        <v>8500</v>
      </c>
      <c r="Y166">
        <v>2024</v>
      </c>
      <c r="Z166">
        <v>11</v>
      </c>
      <c r="AA166">
        <v>29</v>
      </c>
      <c r="AB166" t="s">
        <v>115</v>
      </c>
      <c r="AC166" t="s">
        <v>116</v>
      </c>
      <c r="AD166" t="s">
        <v>137</v>
      </c>
      <c r="AE166" t="s">
        <v>138</v>
      </c>
      <c r="AF166" t="s">
        <v>48</v>
      </c>
    </row>
    <row r="167" spans="1:32" x14ac:dyDescent="0.3">
      <c r="A167">
        <v>1166</v>
      </c>
      <c r="B167" s="2">
        <v>45669</v>
      </c>
      <c r="C167" t="s">
        <v>49</v>
      </c>
      <c r="D167" t="s">
        <v>81</v>
      </c>
      <c r="E167" t="s">
        <v>145</v>
      </c>
      <c r="F167" t="s">
        <v>290</v>
      </c>
      <c r="G167" t="s">
        <v>36</v>
      </c>
      <c r="H167" t="s">
        <v>54</v>
      </c>
      <c r="I167">
        <v>59</v>
      </c>
      <c r="J167" t="s">
        <v>134</v>
      </c>
      <c r="K167" t="s">
        <v>56</v>
      </c>
      <c r="L167" t="s">
        <v>140</v>
      </c>
      <c r="M167" t="s">
        <v>41</v>
      </c>
      <c r="N167">
        <v>2</v>
      </c>
      <c r="O167">
        <v>30000</v>
      </c>
      <c r="P167">
        <v>10</v>
      </c>
      <c r="Q167">
        <v>54000</v>
      </c>
      <c r="R167">
        <v>44000</v>
      </c>
      <c r="S167">
        <v>10000</v>
      </c>
      <c r="T167" t="s">
        <v>67</v>
      </c>
      <c r="U167">
        <v>5</v>
      </c>
      <c r="V167">
        <v>7</v>
      </c>
      <c r="W167" t="s">
        <v>76</v>
      </c>
      <c r="X167">
        <v>108000</v>
      </c>
      <c r="Y167">
        <v>2025</v>
      </c>
      <c r="Z167">
        <v>1</v>
      </c>
      <c r="AA167">
        <v>12</v>
      </c>
      <c r="AB167" t="s">
        <v>44</v>
      </c>
      <c r="AC167" t="s">
        <v>45</v>
      </c>
      <c r="AD167" t="s">
        <v>119</v>
      </c>
      <c r="AE167" t="s">
        <v>120</v>
      </c>
      <c r="AF167" t="s">
        <v>48</v>
      </c>
    </row>
    <row r="168" spans="1:32" x14ac:dyDescent="0.3">
      <c r="A168">
        <v>1167</v>
      </c>
      <c r="B168" s="2">
        <v>45850</v>
      </c>
      <c r="C168" t="s">
        <v>32</v>
      </c>
      <c r="D168" t="s">
        <v>51</v>
      </c>
      <c r="E168" t="s">
        <v>51</v>
      </c>
      <c r="F168" t="s">
        <v>291</v>
      </c>
      <c r="G168" t="s">
        <v>154</v>
      </c>
      <c r="H168" t="s">
        <v>54</v>
      </c>
      <c r="I168">
        <v>37</v>
      </c>
      <c r="J168" t="s">
        <v>103</v>
      </c>
      <c r="K168" t="s">
        <v>39</v>
      </c>
      <c r="L168" t="s">
        <v>66</v>
      </c>
      <c r="M168" t="s">
        <v>58</v>
      </c>
      <c r="N168">
        <v>1</v>
      </c>
      <c r="O168">
        <v>1200</v>
      </c>
      <c r="P168">
        <v>0</v>
      </c>
      <c r="Q168">
        <v>1200</v>
      </c>
      <c r="R168">
        <v>700</v>
      </c>
      <c r="S168">
        <v>500</v>
      </c>
      <c r="T168" t="s">
        <v>84</v>
      </c>
      <c r="U168">
        <v>2</v>
      </c>
      <c r="V168">
        <v>3</v>
      </c>
      <c r="W168" t="s">
        <v>76</v>
      </c>
      <c r="X168">
        <v>1200</v>
      </c>
      <c r="Y168">
        <v>2025</v>
      </c>
      <c r="Z168">
        <v>7</v>
      </c>
      <c r="AA168">
        <v>12</v>
      </c>
      <c r="AB168" t="s">
        <v>77</v>
      </c>
      <c r="AC168" t="s">
        <v>78</v>
      </c>
      <c r="AD168" t="s">
        <v>70</v>
      </c>
      <c r="AE168" t="s">
        <v>71</v>
      </c>
      <c r="AF168" t="s">
        <v>87</v>
      </c>
    </row>
    <row r="169" spans="1:32" x14ac:dyDescent="0.3">
      <c r="A169">
        <v>1168</v>
      </c>
      <c r="B169" s="2">
        <v>45952</v>
      </c>
      <c r="C169" t="s">
        <v>107</v>
      </c>
      <c r="D169" t="s">
        <v>101</v>
      </c>
      <c r="E169" t="s">
        <v>51</v>
      </c>
      <c r="F169" t="s">
        <v>292</v>
      </c>
      <c r="G169" t="s">
        <v>66</v>
      </c>
      <c r="H169" t="s">
        <v>37</v>
      </c>
      <c r="I169">
        <v>58</v>
      </c>
      <c r="J169" t="s">
        <v>134</v>
      </c>
      <c r="K169" t="s">
        <v>56</v>
      </c>
      <c r="L169" t="s">
        <v>124</v>
      </c>
      <c r="M169" t="s">
        <v>48</v>
      </c>
      <c r="N169">
        <v>2</v>
      </c>
      <c r="O169">
        <v>30000</v>
      </c>
      <c r="P169">
        <v>15</v>
      </c>
      <c r="Q169">
        <v>51000</v>
      </c>
      <c r="R169">
        <v>44000</v>
      </c>
      <c r="S169">
        <v>7000</v>
      </c>
      <c r="T169" t="s">
        <v>84</v>
      </c>
      <c r="U169">
        <v>5</v>
      </c>
      <c r="V169">
        <v>8</v>
      </c>
      <c r="W169" t="s">
        <v>43</v>
      </c>
      <c r="X169">
        <v>102000</v>
      </c>
      <c r="Y169">
        <v>2025</v>
      </c>
      <c r="Z169">
        <v>10</v>
      </c>
      <c r="AA169">
        <v>22</v>
      </c>
      <c r="AB169" t="s">
        <v>68</v>
      </c>
      <c r="AC169" t="s">
        <v>69</v>
      </c>
      <c r="AD169" t="s">
        <v>125</v>
      </c>
      <c r="AE169" t="s">
        <v>126</v>
      </c>
      <c r="AF169" t="s">
        <v>87</v>
      </c>
    </row>
    <row r="170" spans="1:32" x14ac:dyDescent="0.3">
      <c r="A170">
        <v>1169</v>
      </c>
      <c r="B170" s="2">
        <v>46005</v>
      </c>
      <c r="C170" t="s">
        <v>32</v>
      </c>
      <c r="D170" t="s">
        <v>81</v>
      </c>
      <c r="E170" t="s">
        <v>145</v>
      </c>
      <c r="F170" t="s">
        <v>293</v>
      </c>
      <c r="G170" t="s">
        <v>92</v>
      </c>
      <c r="H170" t="s">
        <v>37</v>
      </c>
      <c r="I170">
        <v>52</v>
      </c>
      <c r="J170" t="s">
        <v>55</v>
      </c>
      <c r="K170" t="s">
        <v>56</v>
      </c>
      <c r="L170" t="s">
        <v>64</v>
      </c>
      <c r="M170" t="s">
        <v>95</v>
      </c>
      <c r="N170">
        <v>2</v>
      </c>
      <c r="O170">
        <v>15000</v>
      </c>
      <c r="P170">
        <v>10</v>
      </c>
      <c r="Q170">
        <v>27000</v>
      </c>
      <c r="R170">
        <v>22000</v>
      </c>
      <c r="S170">
        <v>5000</v>
      </c>
      <c r="T170" t="s">
        <v>42</v>
      </c>
      <c r="U170">
        <v>5</v>
      </c>
      <c r="V170">
        <v>3</v>
      </c>
      <c r="W170" t="s">
        <v>76</v>
      </c>
      <c r="X170">
        <v>54000</v>
      </c>
      <c r="Y170">
        <v>2025</v>
      </c>
      <c r="Z170">
        <v>12</v>
      </c>
      <c r="AA170">
        <v>14</v>
      </c>
      <c r="AB170" t="s">
        <v>44</v>
      </c>
      <c r="AC170" t="s">
        <v>45</v>
      </c>
      <c r="AD170" t="s">
        <v>112</v>
      </c>
      <c r="AE170" t="s">
        <v>113</v>
      </c>
      <c r="AF170" t="s">
        <v>48</v>
      </c>
    </row>
    <row r="171" spans="1:32" x14ac:dyDescent="0.3">
      <c r="A171">
        <v>1170</v>
      </c>
      <c r="B171" s="2">
        <v>45480</v>
      </c>
      <c r="C171" t="s">
        <v>32</v>
      </c>
      <c r="D171" t="s">
        <v>33</v>
      </c>
      <c r="E171" t="s">
        <v>34</v>
      </c>
      <c r="F171" t="s">
        <v>294</v>
      </c>
      <c r="G171" t="s">
        <v>118</v>
      </c>
      <c r="H171" t="s">
        <v>37</v>
      </c>
      <c r="I171">
        <v>57</v>
      </c>
      <c r="J171" t="s">
        <v>109</v>
      </c>
      <c r="K171" t="s">
        <v>39</v>
      </c>
      <c r="L171" t="s">
        <v>66</v>
      </c>
      <c r="M171" t="s">
        <v>41</v>
      </c>
      <c r="N171">
        <v>2</v>
      </c>
      <c r="O171">
        <v>800</v>
      </c>
      <c r="P171">
        <v>5</v>
      </c>
      <c r="Q171">
        <v>1520</v>
      </c>
      <c r="R171">
        <v>800</v>
      </c>
      <c r="S171">
        <v>720</v>
      </c>
      <c r="T171" t="s">
        <v>67</v>
      </c>
      <c r="U171">
        <v>1</v>
      </c>
      <c r="V171">
        <v>7</v>
      </c>
      <c r="W171" t="s">
        <v>76</v>
      </c>
      <c r="X171">
        <v>3040</v>
      </c>
      <c r="Y171">
        <v>2024</v>
      </c>
      <c r="Z171">
        <v>7</v>
      </c>
      <c r="AA171">
        <v>7</v>
      </c>
      <c r="AB171" t="s">
        <v>44</v>
      </c>
      <c r="AC171" t="s">
        <v>45</v>
      </c>
      <c r="AD171" t="s">
        <v>70</v>
      </c>
      <c r="AE171" t="s">
        <v>71</v>
      </c>
      <c r="AF171" t="s">
        <v>48</v>
      </c>
    </row>
    <row r="172" spans="1:32" x14ac:dyDescent="0.3">
      <c r="A172">
        <v>1171</v>
      </c>
      <c r="B172" s="2">
        <v>45874</v>
      </c>
      <c r="C172" t="s">
        <v>32</v>
      </c>
      <c r="D172" t="s">
        <v>51</v>
      </c>
      <c r="E172" t="s">
        <v>51</v>
      </c>
      <c r="F172" t="s">
        <v>295</v>
      </c>
      <c r="G172" t="s">
        <v>89</v>
      </c>
      <c r="H172" t="s">
        <v>54</v>
      </c>
      <c r="I172">
        <v>33</v>
      </c>
      <c r="J172" t="s">
        <v>134</v>
      </c>
      <c r="K172" t="s">
        <v>56</v>
      </c>
      <c r="L172" t="s">
        <v>64</v>
      </c>
      <c r="M172" t="s">
        <v>41</v>
      </c>
      <c r="N172">
        <v>3</v>
      </c>
      <c r="O172">
        <v>30000</v>
      </c>
      <c r="P172">
        <v>15</v>
      </c>
      <c r="Q172">
        <v>76500</v>
      </c>
      <c r="R172">
        <v>66000</v>
      </c>
      <c r="S172">
        <v>10500</v>
      </c>
      <c r="T172" t="s">
        <v>67</v>
      </c>
      <c r="U172">
        <v>5</v>
      </c>
      <c r="V172">
        <v>7</v>
      </c>
      <c r="W172" t="s">
        <v>43</v>
      </c>
      <c r="X172">
        <v>229500</v>
      </c>
      <c r="Y172">
        <v>2025</v>
      </c>
      <c r="Z172">
        <v>8</v>
      </c>
      <c r="AA172">
        <v>5</v>
      </c>
      <c r="AB172" t="s">
        <v>59</v>
      </c>
      <c r="AC172" t="s">
        <v>60</v>
      </c>
      <c r="AD172" t="s">
        <v>61</v>
      </c>
      <c r="AE172" t="s">
        <v>62</v>
      </c>
      <c r="AF172" t="s">
        <v>48</v>
      </c>
    </row>
    <row r="173" spans="1:32" x14ac:dyDescent="0.3">
      <c r="A173">
        <v>1172</v>
      </c>
      <c r="B173" s="2">
        <v>45448</v>
      </c>
      <c r="C173" t="s">
        <v>107</v>
      </c>
      <c r="D173" t="s">
        <v>50</v>
      </c>
      <c r="E173" t="s">
        <v>129</v>
      </c>
      <c r="F173" t="s">
        <v>296</v>
      </c>
      <c r="G173" t="s">
        <v>64</v>
      </c>
      <c r="H173" t="s">
        <v>37</v>
      </c>
      <c r="I173">
        <v>40</v>
      </c>
      <c r="J173" t="s">
        <v>90</v>
      </c>
      <c r="K173" t="s">
        <v>56</v>
      </c>
      <c r="L173" t="s">
        <v>40</v>
      </c>
      <c r="M173" t="s">
        <v>95</v>
      </c>
      <c r="N173">
        <v>3</v>
      </c>
      <c r="O173">
        <v>25000</v>
      </c>
      <c r="P173">
        <v>10</v>
      </c>
      <c r="Q173">
        <v>67500</v>
      </c>
      <c r="R173">
        <v>54000</v>
      </c>
      <c r="S173">
        <v>13500</v>
      </c>
      <c r="T173" t="s">
        <v>105</v>
      </c>
      <c r="U173">
        <v>3</v>
      </c>
      <c r="V173">
        <v>7</v>
      </c>
      <c r="W173" t="s">
        <v>43</v>
      </c>
      <c r="X173">
        <v>202500</v>
      </c>
      <c r="Y173">
        <v>2024</v>
      </c>
      <c r="Z173">
        <v>6</v>
      </c>
      <c r="AA173">
        <v>5</v>
      </c>
      <c r="AB173" t="s">
        <v>68</v>
      </c>
      <c r="AC173" t="s">
        <v>69</v>
      </c>
      <c r="AD173" t="s">
        <v>85</v>
      </c>
      <c r="AE173" t="s">
        <v>86</v>
      </c>
      <c r="AF173" t="s">
        <v>106</v>
      </c>
    </row>
    <row r="174" spans="1:32" x14ac:dyDescent="0.3">
      <c r="A174">
        <v>1173</v>
      </c>
      <c r="B174" s="2">
        <v>45592</v>
      </c>
      <c r="C174" t="s">
        <v>72</v>
      </c>
      <c r="D174" t="s">
        <v>50</v>
      </c>
      <c r="E174" t="s">
        <v>129</v>
      </c>
      <c r="F174" t="s">
        <v>297</v>
      </c>
      <c r="G174" t="s">
        <v>123</v>
      </c>
      <c r="H174" t="s">
        <v>37</v>
      </c>
      <c r="I174">
        <v>37</v>
      </c>
      <c r="J174" t="s">
        <v>98</v>
      </c>
      <c r="K174" t="s">
        <v>56</v>
      </c>
      <c r="L174" t="s">
        <v>40</v>
      </c>
      <c r="M174" t="s">
        <v>48</v>
      </c>
      <c r="N174">
        <v>4</v>
      </c>
      <c r="O174">
        <v>10000</v>
      </c>
      <c r="P174">
        <v>10</v>
      </c>
      <c r="Q174">
        <v>36000</v>
      </c>
      <c r="R174">
        <v>30000</v>
      </c>
      <c r="S174">
        <v>6000</v>
      </c>
      <c r="T174" t="s">
        <v>42</v>
      </c>
      <c r="U174">
        <v>3</v>
      </c>
      <c r="V174">
        <v>7</v>
      </c>
      <c r="W174" t="s">
        <v>76</v>
      </c>
      <c r="X174">
        <v>144000</v>
      </c>
      <c r="Y174">
        <v>2024</v>
      </c>
      <c r="Z174">
        <v>10</v>
      </c>
      <c r="AA174">
        <v>27</v>
      </c>
      <c r="AB174" t="s">
        <v>44</v>
      </c>
      <c r="AC174" t="s">
        <v>45</v>
      </c>
      <c r="AD174" t="s">
        <v>125</v>
      </c>
      <c r="AE174" t="s">
        <v>126</v>
      </c>
      <c r="AF174" t="s">
        <v>48</v>
      </c>
    </row>
    <row r="175" spans="1:32" x14ac:dyDescent="0.3">
      <c r="A175">
        <v>1174</v>
      </c>
      <c r="B175" s="2">
        <v>45651</v>
      </c>
      <c r="C175" t="s">
        <v>107</v>
      </c>
      <c r="D175" t="s">
        <v>50</v>
      </c>
      <c r="E175" t="s">
        <v>51</v>
      </c>
      <c r="F175" t="s">
        <v>298</v>
      </c>
      <c r="G175" t="s">
        <v>74</v>
      </c>
      <c r="H175" t="s">
        <v>37</v>
      </c>
      <c r="I175">
        <v>29</v>
      </c>
      <c r="J175" t="s">
        <v>98</v>
      </c>
      <c r="K175" t="s">
        <v>56</v>
      </c>
      <c r="L175" t="s">
        <v>140</v>
      </c>
      <c r="M175" t="s">
        <v>58</v>
      </c>
      <c r="N175">
        <v>4</v>
      </c>
      <c r="O175">
        <v>10000</v>
      </c>
      <c r="P175">
        <v>0</v>
      </c>
      <c r="Q175">
        <v>40000</v>
      </c>
      <c r="R175">
        <v>30000</v>
      </c>
      <c r="S175">
        <v>10000</v>
      </c>
      <c r="T175" t="s">
        <v>42</v>
      </c>
      <c r="U175">
        <v>2</v>
      </c>
      <c r="V175">
        <v>2</v>
      </c>
      <c r="W175" t="s">
        <v>43</v>
      </c>
      <c r="X175">
        <v>160000</v>
      </c>
      <c r="Y175">
        <v>2024</v>
      </c>
      <c r="Z175">
        <v>12</v>
      </c>
      <c r="AA175">
        <v>25</v>
      </c>
      <c r="AB175" t="s">
        <v>68</v>
      </c>
      <c r="AC175" t="s">
        <v>69</v>
      </c>
      <c r="AD175" t="s">
        <v>112</v>
      </c>
      <c r="AE175" t="s">
        <v>113</v>
      </c>
      <c r="AF175" t="s">
        <v>48</v>
      </c>
    </row>
    <row r="176" spans="1:32" x14ac:dyDescent="0.3">
      <c r="A176">
        <v>1175</v>
      </c>
      <c r="B176" s="2">
        <v>45893</v>
      </c>
      <c r="C176" t="s">
        <v>32</v>
      </c>
      <c r="D176" t="s">
        <v>101</v>
      </c>
      <c r="E176" t="s">
        <v>127</v>
      </c>
      <c r="F176" t="s">
        <v>299</v>
      </c>
      <c r="G176" t="s">
        <v>118</v>
      </c>
      <c r="H176" t="s">
        <v>54</v>
      </c>
      <c r="I176">
        <v>32</v>
      </c>
      <c r="J176" t="s">
        <v>103</v>
      </c>
      <c r="K176" t="s">
        <v>39</v>
      </c>
      <c r="L176" t="s">
        <v>104</v>
      </c>
      <c r="M176" t="s">
        <v>95</v>
      </c>
      <c r="N176">
        <v>1</v>
      </c>
      <c r="O176">
        <v>1200</v>
      </c>
      <c r="P176">
        <v>0</v>
      </c>
      <c r="Q176">
        <v>1200</v>
      </c>
      <c r="R176">
        <v>700</v>
      </c>
      <c r="S176">
        <v>500</v>
      </c>
      <c r="T176" t="s">
        <v>42</v>
      </c>
      <c r="U176">
        <v>5</v>
      </c>
      <c r="V176">
        <v>2</v>
      </c>
      <c r="W176" t="s">
        <v>43</v>
      </c>
      <c r="X176">
        <v>1200</v>
      </c>
      <c r="Y176">
        <v>2025</v>
      </c>
      <c r="Z176">
        <v>8</v>
      </c>
      <c r="AA176">
        <v>24</v>
      </c>
      <c r="AB176" t="s">
        <v>44</v>
      </c>
      <c r="AC176" t="s">
        <v>45</v>
      </c>
      <c r="AD176" t="s">
        <v>61</v>
      </c>
      <c r="AE176" t="s">
        <v>62</v>
      </c>
      <c r="AF176" t="s">
        <v>48</v>
      </c>
    </row>
    <row r="177" spans="1:32" x14ac:dyDescent="0.3">
      <c r="A177">
        <v>1176</v>
      </c>
      <c r="B177" s="2">
        <v>45457</v>
      </c>
      <c r="C177" t="s">
        <v>72</v>
      </c>
      <c r="D177" t="s">
        <v>81</v>
      </c>
      <c r="E177" t="s">
        <v>145</v>
      </c>
      <c r="F177" t="s">
        <v>300</v>
      </c>
      <c r="G177" t="s">
        <v>53</v>
      </c>
      <c r="H177" t="s">
        <v>37</v>
      </c>
      <c r="I177">
        <v>42</v>
      </c>
      <c r="J177" t="s">
        <v>109</v>
      </c>
      <c r="K177" t="s">
        <v>39</v>
      </c>
      <c r="L177" t="s">
        <v>57</v>
      </c>
      <c r="M177" t="s">
        <v>48</v>
      </c>
      <c r="N177">
        <v>5</v>
      </c>
      <c r="O177">
        <v>800</v>
      </c>
      <c r="P177">
        <v>15</v>
      </c>
      <c r="Q177">
        <v>3400</v>
      </c>
      <c r="R177">
        <v>2000</v>
      </c>
      <c r="S177">
        <v>1400</v>
      </c>
      <c r="T177" t="s">
        <v>67</v>
      </c>
      <c r="U177">
        <v>4</v>
      </c>
      <c r="V177">
        <v>8</v>
      </c>
      <c r="W177" t="s">
        <v>43</v>
      </c>
      <c r="X177">
        <v>17000</v>
      </c>
      <c r="Y177">
        <v>2024</v>
      </c>
      <c r="Z177">
        <v>6</v>
      </c>
      <c r="AA177">
        <v>14</v>
      </c>
      <c r="AB177" t="s">
        <v>115</v>
      </c>
      <c r="AC177" t="s">
        <v>116</v>
      </c>
      <c r="AD177" t="s">
        <v>85</v>
      </c>
      <c r="AE177" t="s">
        <v>86</v>
      </c>
      <c r="AF177" t="s">
        <v>48</v>
      </c>
    </row>
    <row r="178" spans="1:32" x14ac:dyDescent="0.3">
      <c r="A178">
        <v>1177</v>
      </c>
      <c r="B178" s="2">
        <v>45340</v>
      </c>
      <c r="C178" t="s">
        <v>107</v>
      </c>
      <c r="D178" t="s">
        <v>33</v>
      </c>
      <c r="E178" t="s">
        <v>34</v>
      </c>
      <c r="F178" t="s">
        <v>301</v>
      </c>
      <c r="G178" t="s">
        <v>92</v>
      </c>
      <c r="H178" t="s">
        <v>37</v>
      </c>
      <c r="I178">
        <v>34</v>
      </c>
      <c r="J178" t="s">
        <v>98</v>
      </c>
      <c r="K178" t="s">
        <v>56</v>
      </c>
      <c r="L178" t="s">
        <v>57</v>
      </c>
      <c r="M178" t="s">
        <v>41</v>
      </c>
      <c r="N178">
        <v>3</v>
      </c>
      <c r="O178">
        <v>10000</v>
      </c>
      <c r="P178">
        <v>5</v>
      </c>
      <c r="Q178">
        <v>28500</v>
      </c>
      <c r="R178">
        <v>22500</v>
      </c>
      <c r="S178">
        <v>6000</v>
      </c>
      <c r="T178" t="s">
        <v>42</v>
      </c>
      <c r="U178">
        <v>3</v>
      </c>
      <c r="V178">
        <v>8</v>
      </c>
      <c r="W178" t="s">
        <v>43</v>
      </c>
      <c r="X178">
        <v>85500</v>
      </c>
      <c r="Y178">
        <v>2024</v>
      </c>
      <c r="Z178">
        <v>2</v>
      </c>
      <c r="AA178">
        <v>18</v>
      </c>
      <c r="AB178" t="s">
        <v>44</v>
      </c>
      <c r="AC178" t="s">
        <v>45</v>
      </c>
      <c r="AD178" t="s">
        <v>79</v>
      </c>
      <c r="AE178" t="s">
        <v>80</v>
      </c>
      <c r="AF178" t="s">
        <v>48</v>
      </c>
    </row>
    <row r="179" spans="1:32" x14ac:dyDescent="0.3">
      <c r="A179">
        <v>1178</v>
      </c>
      <c r="B179" s="2">
        <v>45897</v>
      </c>
      <c r="C179" t="s">
        <v>32</v>
      </c>
      <c r="D179" t="s">
        <v>50</v>
      </c>
      <c r="E179" t="s">
        <v>129</v>
      </c>
      <c r="F179" t="s">
        <v>302</v>
      </c>
      <c r="G179" t="s">
        <v>36</v>
      </c>
      <c r="H179" t="s">
        <v>37</v>
      </c>
      <c r="I179">
        <v>44</v>
      </c>
      <c r="J179" t="s">
        <v>38</v>
      </c>
      <c r="K179" t="s">
        <v>39</v>
      </c>
      <c r="L179" t="s">
        <v>40</v>
      </c>
      <c r="M179" t="s">
        <v>58</v>
      </c>
      <c r="N179">
        <v>4</v>
      </c>
      <c r="O179">
        <v>2000</v>
      </c>
      <c r="P179">
        <v>0</v>
      </c>
      <c r="Q179">
        <v>8000</v>
      </c>
      <c r="R179">
        <v>4800</v>
      </c>
      <c r="S179">
        <v>3200</v>
      </c>
      <c r="T179" t="s">
        <v>84</v>
      </c>
      <c r="U179">
        <v>5</v>
      </c>
      <c r="V179">
        <v>8</v>
      </c>
      <c r="W179" t="s">
        <v>43</v>
      </c>
      <c r="X179">
        <v>32000</v>
      </c>
      <c r="Y179">
        <v>2025</v>
      </c>
      <c r="Z179">
        <v>8</v>
      </c>
      <c r="AA179">
        <v>28</v>
      </c>
      <c r="AB179" t="s">
        <v>135</v>
      </c>
      <c r="AC179" t="s">
        <v>136</v>
      </c>
      <c r="AD179" t="s">
        <v>61</v>
      </c>
      <c r="AE179" t="s">
        <v>62</v>
      </c>
      <c r="AF179" t="s">
        <v>87</v>
      </c>
    </row>
    <row r="180" spans="1:32" x14ac:dyDescent="0.3">
      <c r="A180">
        <v>1179</v>
      </c>
      <c r="B180" s="2">
        <v>45822</v>
      </c>
      <c r="C180" t="s">
        <v>107</v>
      </c>
      <c r="D180" t="s">
        <v>50</v>
      </c>
      <c r="E180" t="s">
        <v>51</v>
      </c>
      <c r="F180" t="s">
        <v>303</v>
      </c>
      <c r="G180" t="s">
        <v>118</v>
      </c>
      <c r="H180" t="s">
        <v>54</v>
      </c>
      <c r="I180">
        <v>22</v>
      </c>
      <c r="J180" t="s">
        <v>103</v>
      </c>
      <c r="K180" t="s">
        <v>39</v>
      </c>
      <c r="L180" t="s">
        <v>104</v>
      </c>
      <c r="M180" t="s">
        <v>58</v>
      </c>
      <c r="N180">
        <v>2</v>
      </c>
      <c r="O180">
        <v>1200</v>
      </c>
      <c r="P180">
        <v>0</v>
      </c>
      <c r="Q180">
        <v>2400</v>
      </c>
      <c r="R180">
        <v>1400</v>
      </c>
      <c r="S180">
        <v>1000</v>
      </c>
      <c r="T180" t="s">
        <v>67</v>
      </c>
      <c r="U180">
        <v>3</v>
      </c>
      <c r="V180">
        <v>8</v>
      </c>
      <c r="W180" t="s">
        <v>76</v>
      </c>
      <c r="X180">
        <v>4800</v>
      </c>
      <c r="Y180">
        <v>2025</v>
      </c>
      <c r="Z180">
        <v>6</v>
      </c>
      <c r="AA180">
        <v>14</v>
      </c>
      <c r="AB180" t="s">
        <v>77</v>
      </c>
      <c r="AC180" t="s">
        <v>78</v>
      </c>
      <c r="AD180" t="s">
        <v>85</v>
      </c>
      <c r="AE180" t="s">
        <v>86</v>
      </c>
      <c r="AF180" t="s">
        <v>48</v>
      </c>
    </row>
    <row r="181" spans="1:32" x14ac:dyDescent="0.3">
      <c r="A181">
        <v>1180</v>
      </c>
      <c r="B181" s="2">
        <v>45294</v>
      </c>
      <c r="C181" t="s">
        <v>72</v>
      </c>
      <c r="D181" t="s">
        <v>81</v>
      </c>
      <c r="E181" t="s">
        <v>145</v>
      </c>
      <c r="F181" t="s">
        <v>304</v>
      </c>
      <c r="G181" t="s">
        <v>94</v>
      </c>
      <c r="H181" t="s">
        <v>54</v>
      </c>
      <c r="I181">
        <v>43</v>
      </c>
      <c r="J181" t="s">
        <v>134</v>
      </c>
      <c r="K181" t="s">
        <v>56</v>
      </c>
      <c r="L181" t="s">
        <v>104</v>
      </c>
      <c r="M181" t="s">
        <v>48</v>
      </c>
      <c r="N181">
        <v>1</v>
      </c>
      <c r="O181">
        <v>30000</v>
      </c>
      <c r="P181">
        <v>10</v>
      </c>
      <c r="Q181">
        <v>27000</v>
      </c>
      <c r="R181">
        <v>22000</v>
      </c>
      <c r="S181">
        <v>5000</v>
      </c>
      <c r="T181" t="s">
        <v>67</v>
      </c>
      <c r="U181">
        <v>3</v>
      </c>
      <c r="V181">
        <v>8</v>
      </c>
      <c r="W181" t="s">
        <v>76</v>
      </c>
      <c r="X181">
        <v>27000</v>
      </c>
      <c r="Y181">
        <v>2024</v>
      </c>
      <c r="Z181">
        <v>1</v>
      </c>
      <c r="AA181">
        <v>3</v>
      </c>
      <c r="AB181" t="s">
        <v>68</v>
      </c>
      <c r="AC181" t="s">
        <v>69</v>
      </c>
      <c r="AD181" t="s">
        <v>119</v>
      </c>
      <c r="AE181" t="s">
        <v>120</v>
      </c>
      <c r="AF181" t="s">
        <v>48</v>
      </c>
    </row>
    <row r="182" spans="1:32" x14ac:dyDescent="0.3">
      <c r="A182">
        <v>1181</v>
      </c>
      <c r="B182" s="2">
        <v>45680</v>
      </c>
      <c r="C182" t="s">
        <v>72</v>
      </c>
      <c r="D182" t="s">
        <v>101</v>
      </c>
      <c r="E182" t="s">
        <v>51</v>
      </c>
      <c r="F182" t="s">
        <v>305</v>
      </c>
      <c r="G182" t="s">
        <v>118</v>
      </c>
      <c r="H182" t="s">
        <v>37</v>
      </c>
      <c r="I182">
        <v>50</v>
      </c>
      <c r="J182" t="s">
        <v>98</v>
      </c>
      <c r="K182" t="s">
        <v>56</v>
      </c>
      <c r="L182" t="s">
        <v>66</v>
      </c>
      <c r="M182" t="s">
        <v>41</v>
      </c>
      <c r="N182">
        <v>5</v>
      </c>
      <c r="O182">
        <v>10000</v>
      </c>
      <c r="P182">
        <v>10</v>
      </c>
      <c r="Q182">
        <v>45000</v>
      </c>
      <c r="R182">
        <v>37500</v>
      </c>
      <c r="S182">
        <v>7500</v>
      </c>
      <c r="T182" t="s">
        <v>105</v>
      </c>
      <c r="U182">
        <v>3</v>
      </c>
      <c r="V182">
        <v>6</v>
      </c>
      <c r="W182" t="s">
        <v>43</v>
      </c>
      <c r="X182">
        <v>225000</v>
      </c>
      <c r="Y182">
        <v>2025</v>
      </c>
      <c r="Z182">
        <v>1</v>
      </c>
      <c r="AA182">
        <v>23</v>
      </c>
      <c r="AB182" t="s">
        <v>135</v>
      </c>
      <c r="AC182" t="s">
        <v>136</v>
      </c>
      <c r="AD182" t="s">
        <v>119</v>
      </c>
      <c r="AE182" t="s">
        <v>120</v>
      </c>
      <c r="AF182" t="s">
        <v>106</v>
      </c>
    </row>
    <row r="183" spans="1:32" x14ac:dyDescent="0.3">
      <c r="A183">
        <v>1182</v>
      </c>
      <c r="B183" s="2">
        <v>45604</v>
      </c>
      <c r="C183" t="s">
        <v>49</v>
      </c>
      <c r="D183" t="s">
        <v>81</v>
      </c>
      <c r="E183" t="s">
        <v>82</v>
      </c>
      <c r="F183" t="s">
        <v>306</v>
      </c>
      <c r="G183" t="s">
        <v>94</v>
      </c>
      <c r="H183" t="s">
        <v>54</v>
      </c>
      <c r="I183">
        <v>29</v>
      </c>
      <c r="J183" t="s">
        <v>90</v>
      </c>
      <c r="K183" t="s">
        <v>56</v>
      </c>
      <c r="L183" t="s">
        <v>64</v>
      </c>
      <c r="M183" t="s">
        <v>41</v>
      </c>
      <c r="N183">
        <v>3</v>
      </c>
      <c r="O183">
        <v>25000</v>
      </c>
      <c r="P183">
        <v>0</v>
      </c>
      <c r="Q183">
        <v>75000</v>
      </c>
      <c r="R183">
        <v>54000</v>
      </c>
      <c r="S183">
        <v>21000</v>
      </c>
      <c r="T183" t="s">
        <v>84</v>
      </c>
      <c r="U183">
        <v>1</v>
      </c>
      <c r="V183">
        <v>4</v>
      </c>
      <c r="W183" t="s">
        <v>43</v>
      </c>
      <c r="X183">
        <v>225000</v>
      </c>
      <c r="Y183">
        <v>2024</v>
      </c>
      <c r="Z183">
        <v>11</v>
      </c>
      <c r="AA183">
        <v>8</v>
      </c>
      <c r="AB183" t="s">
        <v>115</v>
      </c>
      <c r="AC183" t="s">
        <v>116</v>
      </c>
      <c r="AD183" t="s">
        <v>137</v>
      </c>
      <c r="AE183" t="s">
        <v>138</v>
      </c>
      <c r="AF183" t="s">
        <v>87</v>
      </c>
    </row>
    <row r="184" spans="1:32" x14ac:dyDescent="0.3">
      <c r="A184">
        <v>1183</v>
      </c>
      <c r="B184" s="2">
        <v>45908</v>
      </c>
      <c r="C184" t="s">
        <v>107</v>
      </c>
      <c r="D184" t="s">
        <v>50</v>
      </c>
      <c r="E184" t="s">
        <v>129</v>
      </c>
      <c r="F184" t="s">
        <v>307</v>
      </c>
      <c r="G184" t="s">
        <v>123</v>
      </c>
      <c r="H184" t="s">
        <v>54</v>
      </c>
      <c r="I184">
        <v>43</v>
      </c>
      <c r="J184" t="s">
        <v>90</v>
      </c>
      <c r="K184" t="s">
        <v>56</v>
      </c>
      <c r="L184" t="s">
        <v>124</v>
      </c>
      <c r="M184" t="s">
        <v>48</v>
      </c>
      <c r="N184">
        <v>4</v>
      </c>
      <c r="O184">
        <v>25000</v>
      </c>
      <c r="P184">
        <v>0</v>
      </c>
      <c r="Q184">
        <v>100000</v>
      </c>
      <c r="R184">
        <v>72000</v>
      </c>
      <c r="S184">
        <v>28000</v>
      </c>
      <c r="T184" t="s">
        <v>42</v>
      </c>
      <c r="U184">
        <v>5</v>
      </c>
      <c r="V184">
        <v>3</v>
      </c>
      <c r="W184" t="s">
        <v>43</v>
      </c>
      <c r="X184">
        <v>400000</v>
      </c>
      <c r="Y184">
        <v>2025</v>
      </c>
      <c r="Z184">
        <v>9</v>
      </c>
      <c r="AA184">
        <v>8</v>
      </c>
      <c r="AB184" t="s">
        <v>110</v>
      </c>
      <c r="AC184" t="s">
        <v>111</v>
      </c>
      <c r="AD184" t="s">
        <v>46</v>
      </c>
      <c r="AE184" t="s">
        <v>47</v>
      </c>
      <c r="AF184" t="s">
        <v>48</v>
      </c>
    </row>
    <row r="185" spans="1:32" x14ac:dyDescent="0.3">
      <c r="A185">
        <v>1184</v>
      </c>
      <c r="B185" s="2">
        <v>45751</v>
      </c>
      <c r="C185" t="s">
        <v>32</v>
      </c>
      <c r="D185" t="s">
        <v>51</v>
      </c>
      <c r="E185" t="s">
        <v>51</v>
      </c>
      <c r="F185" t="s">
        <v>308</v>
      </c>
      <c r="G185" t="s">
        <v>154</v>
      </c>
      <c r="H185" t="s">
        <v>54</v>
      </c>
      <c r="I185">
        <v>24</v>
      </c>
      <c r="J185" t="s">
        <v>38</v>
      </c>
      <c r="K185" t="s">
        <v>39</v>
      </c>
      <c r="L185" t="s">
        <v>66</v>
      </c>
      <c r="M185" t="s">
        <v>95</v>
      </c>
      <c r="N185">
        <v>5</v>
      </c>
      <c r="O185">
        <v>2000</v>
      </c>
      <c r="P185">
        <v>0</v>
      </c>
      <c r="Q185">
        <v>10000</v>
      </c>
      <c r="R185">
        <v>6000</v>
      </c>
      <c r="S185">
        <v>4000</v>
      </c>
      <c r="T185" t="s">
        <v>67</v>
      </c>
      <c r="U185">
        <v>3</v>
      </c>
      <c r="V185">
        <v>8</v>
      </c>
      <c r="W185" t="s">
        <v>43</v>
      </c>
      <c r="X185">
        <v>50000</v>
      </c>
      <c r="Y185">
        <v>2025</v>
      </c>
      <c r="Z185">
        <v>4</v>
      </c>
      <c r="AA185">
        <v>4</v>
      </c>
      <c r="AB185" t="s">
        <v>115</v>
      </c>
      <c r="AC185" t="s">
        <v>116</v>
      </c>
      <c r="AD185" t="s">
        <v>151</v>
      </c>
      <c r="AE185" t="s">
        <v>152</v>
      </c>
      <c r="AF185" t="s">
        <v>48</v>
      </c>
    </row>
    <row r="186" spans="1:32" x14ac:dyDescent="0.3">
      <c r="A186">
        <v>1185</v>
      </c>
      <c r="B186" s="2">
        <v>45383</v>
      </c>
      <c r="C186" t="s">
        <v>107</v>
      </c>
      <c r="D186" t="s">
        <v>33</v>
      </c>
      <c r="E186" t="s">
        <v>34</v>
      </c>
      <c r="F186" t="s">
        <v>309</v>
      </c>
      <c r="G186" t="s">
        <v>94</v>
      </c>
      <c r="H186" t="s">
        <v>54</v>
      </c>
      <c r="I186">
        <v>30</v>
      </c>
      <c r="J186" t="s">
        <v>90</v>
      </c>
      <c r="K186" t="s">
        <v>56</v>
      </c>
      <c r="L186" t="s">
        <v>140</v>
      </c>
      <c r="M186" t="s">
        <v>95</v>
      </c>
      <c r="N186">
        <v>5</v>
      </c>
      <c r="O186">
        <v>25000</v>
      </c>
      <c r="P186">
        <v>15</v>
      </c>
      <c r="Q186">
        <v>106250</v>
      </c>
      <c r="R186">
        <v>90000</v>
      </c>
      <c r="S186">
        <v>16250</v>
      </c>
      <c r="T186" t="s">
        <v>42</v>
      </c>
      <c r="U186">
        <v>1</v>
      </c>
      <c r="V186">
        <v>1</v>
      </c>
      <c r="W186" t="s">
        <v>76</v>
      </c>
      <c r="X186">
        <v>531250</v>
      </c>
      <c r="Y186">
        <v>2024</v>
      </c>
      <c r="Z186">
        <v>4</v>
      </c>
      <c r="AA186">
        <v>1</v>
      </c>
      <c r="AB186" t="s">
        <v>110</v>
      </c>
      <c r="AC186" t="s">
        <v>111</v>
      </c>
      <c r="AD186" t="s">
        <v>151</v>
      </c>
      <c r="AE186" t="s">
        <v>152</v>
      </c>
      <c r="AF186" t="s">
        <v>48</v>
      </c>
    </row>
    <row r="187" spans="1:32" x14ac:dyDescent="0.3">
      <c r="A187">
        <v>1186</v>
      </c>
      <c r="B187" s="2">
        <v>45577</v>
      </c>
      <c r="C187" t="s">
        <v>107</v>
      </c>
      <c r="D187" t="s">
        <v>50</v>
      </c>
      <c r="E187" t="s">
        <v>129</v>
      </c>
      <c r="F187" t="s">
        <v>310</v>
      </c>
      <c r="G187" t="s">
        <v>66</v>
      </c>
      <c r="H187" t="s">
        <v>37</v>
      </c>
      <c r="I187">
        <v>21</v>
      </c>
      <c r="J187" t="s">
        <v>90</v>
      </c>
      <c r="K187" t="s">
        <v>56</v>
      </c>
      <c r="L187" t="s">
        <v>57</v>
      </c>
      <c r="M187" t="s">
        <v>95</v>
      </c>
      <c r="N187">
        <v>2</v>
      </c>
      <c r="O187">
        <v>25000</v>
      </c>
      <c r="P187">
        <v>15</v>
      </c>
      <c r="Q187">
        <v>42500</v>
      </c>
      <c r="R187">
        <v>36000</v>
      </c>
      <c r="S187">
        <v>6500</v>
      </c>
      <c r="T187" t="s">
        <v>42</v>
      </c>
      <c r="U187">
        <v>2</v>
      </c>
      <c r="V187">
        <v>5</v>
      </c>
      <c r="W187" t="s">
        <v>43</v>
      </c>
      <c r="X187">
        <v>85000</v>
      </c>
      <c r="Y187">
        <v>2024</v>
      </c>
      <c r="Z187">
        <v>10</v>
      </c>
      <c r="AA187">
        <v>12</v>
      </c>
      <c r="AB187" t="s">
        <v>77</v>
      </c>
      <c r="AC187" t="s">
        <v>78</v>
      </c>
      <c r="AD187" t="s">
        <v>125</v>
      </c>
      <c r="AE187" t="s">
        <v>126</v>
      </c>
      <c r="AF187" t="s">
        <v>48</v>
      </c>
    </row>
    <row r="188" spans="1:32" x14ac:dyDescent="0.3">
      <c r="A188">
        <v>1187</v>
      </c>
      <c r="B188" s="2">
        <v>45601</v>
      </c>
      <c r="C188" t="s">
        <v>49</v>
      </c>
      <c r="D188" t="s">
        <v>51</v>
      </c>
      <c r="E188" t="s">
        <v>51</v>
      </c>
      <c r="F188" t="s">
        <v>311</v>
      </c>
      <c r="G188" t="s">
        <v>36</v>
      </c>
      <c r="H188" t="s">
        <v>37</v>
      </c>
      <c r="I188">
        <v>51</v>
      </c>
      <c r="J188" t="s">
        <v>98</v>
      </c>
      <c r="K188" t="s">
        <v>56</v>
      </c>
      <c r="L188" t="s">
        <v>75</v>
      </c>
      <c r="M188" t="s">
        <v>95</v>
      </c>
      <c r="N188">
        <v>3</v>
      </c>
      <c r="O188">
        <v>10000</v>
      </c>
      <c r="P188">
        <v>10</v>
      </c>
      <c r="Q188">
        <v>27000</v>
      </c>
      <c r="R188">
        <v>22500</v>
      </c>
      <c r="S188">
        <v>4500</v>
      </c>
      <c r="T188" t="s">
        <v>84</v>
      </c>
      <c r="U188">
        <v>5</v>
      </c>
      <c r="V188">
        <v>3</v>
      </c>
      <c r="W188" t="s">
        <v>43</v>
      </c>
      <c r="X188">
        <v>81000</v>
      </c>
      <c r="Y188">
        <v>2024</v>
      </c>
      <c r="Z188">
        <v>11</v>
      </c>
      <c r="AA188">
        <v>5</v>
      </c>
      <c r="AB188" t="s">
        <v>59</v>
      </c>
      <c r="AC188" t="s">
        <v>60</v>
      </c>
      <c r="AD188" t="s">
        <v>137</v>
      </c>
      <c r="AE188" t="s">
        <v>138</v>
      </c>
      <c r="AF188" t="s">
        <v>87</v>
      </c>
    </row>
    <row r="189" spans="1:32" x14ac:dyDescent="0.3">
      <c r="A189">
        <v>1188</v>
      </c>
      <c r="B189" s="2">
        <v>45705</v>
      </c>
      <c r="C189" t="s">
        <v>49</v>
      </c>
      <c r="D189" t="s">
        <v>50</v>
      </c>
      <c r="E189" t="s">
        <v>51</v>
      </c>
      <c r="F189" t="s">
        <v>312</v>
      </c>
      <c r="G189" t="s">
        <v>169</v>
      </c>
      <c r="H189" t="s">
        <v>54</v>
      </c>
      <c r="I189">
        <v>22</v>
      </c>
      <c r="J189" t="s">
        <v>90</v>
      </c>
      <c r="K189" t="s">
        <v>56</v>
      </c>
      <c r="L189" t="s">
        <v>124</v>
      </c>
      <c r="M189" t="s">
        <v>41</v>
      </c>
      <c r="N189">
        <v>1</v>
      </c>
      <c r="O189">
        <v>25000</v>
      </c>
      <c r="P189">
        <v>0</v>
      </c>
      <c r="Q189">
        <v>25000</v>
      </c>
      <c r="R189">
        <v>18000</v>
      </c>
      <c r="S189">
        <v>7000</v>
      </c>
      <c r="T189" t="s">
        <v>105</v>
      </c>
      <c r="U189">
        <v>1</v>
      </c>
      <c r="V189">
        <v>5</v>
      </c>
      <c r="W189" t="s">
        <v>43</v>
      </c>
      <c r="X189">
        <v>25000</v>
      </c>
      <c r="Y189">
        <v>2025</v>
      </c>
      <c r="Z189">
        <v>2</v>
      </c>
      <c r="AA189">
        <v>17</v>
      </c>
      <c r="AB189" t="s">
        <v>110</v>
      </c>
      <c r="AC189" t="s">
        <v>111</v>
      </c>
      <c r="AD189" t="s">
        <v>79</v>
      </c>
      <c r="AE189" t="s">
        <v>80</v>
      </c>
      <c r="AF189" t="s">
        <v>106</v>
      </c>
    </row>
    <row r="190" spans="1:32" x14ac:dyDescent="0.3">
      <c r="A190">
        <v>1189</v>
      </c>
      <c r="B190" s="2">
        <v>45486</v>
      </c>
      <c r="C190" t="s">
        <v>32</v>
      </c>
      <c r="D190" t="s">
        <v>33</v>
      </c>
      <c r="E190" t="s">
        <v>34</v>
      </c>
      <c r="F190" t="s">
        <v>313</v>
      </c>
      <c r="G190" t="s">
        <v>89</v>
      </c>
      <c r="H190" t="s">
        <v>37</v>
      </c>
      <c r="I190">
        <v>56</v>
      </c>
      <c r="J190" t="s">
        <v>98</v>
      </c>
      <c r="K190" t="s">
        <v>56</v>
      </c>
      <c r="L190" t="s">
        <v>64</v>
      </c>
      <c r="M190" t="s">
        <v>41</v>
      </c>
      <c r="N190">
        <v>3</v>
      </c>
      <c r="O190">
        <v>10000</v>
      </c>
      <c r="P190">
        <v>0</v>
      </c>
      <c r="Q190">
        <v>30000</v>
      </c>
      <c r="R190">
        <v>22500</v>
      </c>
      <c r="S190">
        <v>7500</v>
      </c>
      <c r="T190" t="s">
        <v>42</v>
      </c>
      <c r="U190">
        <v>2</v>
      </c>
      <c r="V190">
        <v>6</v>
      </c>
      <c r="W190" t="s">
        <v>43</v>
      </c>
      <c r="X190">
        <v>90000</v>
      </c>
      <c r="Y190">
        <v>2024</v>
      </c>
      <c r="Z190">
        <v>7</v>
      </c>
      <c r="AA190">
        <v>13</v>
      </c>
      <c r="AB190" t="s">
        <v>77</v>
      </c>
      <c r="AC190" t="s">
        <v>78</v>
      </c>
      <c r="AD190" t="s">
        <v>70</v>
      </c>
      <c r="AE190" t="s">
        <v>71</v>
      </c>
      <c r="AF190" t="s">
        <v>48</v>
      </c>
    </row>
    <row r="191" spans="1:32" x14ac:dyDescent="0.3">
      <c r="A191">
        <v>1190</v>
      </c>
      <c r="B191" s="2">
        <v>45386</v>
      </c>
      <c r="C191" t="s">
        <v>32</v>
      </c>
      <c r="D191" t="s">
        <v>51</v>
      </c>
      <c r="E191" t="s">
        <v>51</v>
      </c>
      <c r="F191" t="s">
        <v>314</v>
      </c>
      <c r="G191" t="s">
        <v>66</v>
      </c>
      <c r="H191" t="s">
        <v>54</v>
      </c>
      <c r="I191">
        <v>29</v>
      </c>
      <c r="J191" t="s">
        <v>109</v>
      </c>
      <c r="K191" t="s">
        <v>39</v>
      </c>
      <c r="L191" t="s">
        <v>66</v>
      </c>
      <c r="M191" t="s">
        <v>48</v>
      </c>
      <c r="N191">
        <v>2</v>
      </c>
      <c r="O191">
        <v>800</v>
      </c>
      <c r="P191">
        <v>5</v>
      </c>
      <c r="Q191">
        <v>1520</v>
      </c>
      <c r="R191">
        <v>800</v>
      </c>
      <c r="S191">
        <v>720</v>
      </c>
      <c r="T191" t="s">
        <v>84</v>
      </c>
      <c r="U191">
        <v>3</v>
      </c>
      <c r="V191">
        <v>4</v>
      </c>
      <c r="W191" t="s">
        <v>76</v>
      </c>
      <c r="X191">
        <v>3040</v>
      </c>
      <c r="Y191">
        <v>2024</v>
      </c>
      <c r="Z191">
        <v>4</v>
      </c>
      <c r="AA191">
        <v>4</v>
      </c>
      <c r="AB191" t="s">
        <v>135</v>
      </c>
      <c r="AC191" t="s">
        <v>136</v>
      </c>
      <c r="AD191" t="s">
        <v>151</v>
      </c>
      <c r="AE191" t="s">
        <v>152</v>
      </c>
      <c r="AF191" t="s">
        <v>87</v>
      </c>
    </row>
    <row r="192" spans="1:32" x14ac:dyDescent="0.3">
      <c r="A192">
        <v>1191</v>
      </c>
      <c r="B192" s="2">
        <v>45754</v>
      </c>
      <c r="C192" t="s">
        <v>107</v>
      </c>
      <c r="D192" t="s">
        <v>50</v>
      </c>
      <c r="E192" t="s">
        <v>129</v>
      </c>
      <c r="F192" t="s">
        <v>315</v>
      </c>
      <c r="G192" t="s">
        <v>94</v>
      </c>
      <c r="H192" t="s">
        <v>37</v>
      </c>
      <c r="I192">
        <v>58</v>
      </c>
      <c r="J192" t="s">
        <v>65</v>
      </c>
      <c r="K192" t="s">
        <v>56</v>
      </c>
      <c r="L192" t="s">
        <v>64</v>
      </c>
      <c r="M192" t="s">
        <v>58</v>
      </c>
      <c r="N192">
        <v>4</v>
      </c>
      <c r="O192">
        <v>55000</v>
      </c>
      <c r="P192">
        <v>10</v>
      </c>
      <c r="Q192">
        <v>198000</v>
      </c>
      <c r="R192">
        <v>168000</v>
      </c>
      <c r="S192">
        <v>30000</v>
      </c>
      <c r="T192" t="s">
        <v>84</v>
      </c>
      <c r="U192">
        <v>4</v>
      </c>
      <c r="V192">
        <v>2</v>
      </c>
      <c r="W192" t="s">
        <v>43</v>
      </c>
      <c r="X192">
        <v>792000</v>
      </c>
      <c r="Y192">
        <v>2025</v>
      </c>
      <c r="Z192">
        <v>4</v>
      </c>
      <c r="AA192">
        <v>7</v>
      </c>
      <c r="AB192" t="s">
        <v>110</v>
      </c>
      <c r="AC192" t="s">
        <v>111</v>
      </c>
      <c r="AD192" t="s">
        <v>151</v>
      </c>
      <c r="AE192" t="s">
        <v>152</v>
      </c>
      <c r="AF192" t="s">
        <v>87</v>
      </c>
    </row>
    <row r="193" spans="1:32" x14ac:dyDescent="0.3">
      <c r="A193">
        <v>1192</v>
      </c>
      <c r="B193" s="2">
        <v>45718</v>
      </c>
      <c r="C193" t="s">
        <v>72</v>
      </c>
      <c r="D193" t="s">
        <v>33</v>
      </c>
      <c r="E193" t="s">
        <v>34</v>
      </c>
      <c r="F193" t="s">
        <v>316</v>
      </c>
      <c r="G193" t="s">
        <v>74</v>
      </c>
      <c r="H193" t="s">
        <v>37</v>
      </c>
      <c r="I193">
        <v>36</v>
      </c>
      <c r="J193" t="s">
        <v>90</v>
      </c>
      <c r="K193" t="s">
        <v>56</v>
      </c>
      <c r="L193" t="s">
        <v>75</v>
      </c>
      <c r="M193" t="s">
        <v>41</v>
      </c>
      <c r="N193">
        <v>2</v>
      </c>
      <c r="O193">
        <v>25000</v>
      </c>
      <c r="P193">
        <v>5</v>
      </c>
      <c r="Q193">
        <v>47500</v>
      </c>
      <c r="R193">
        <v>36000</v>
      </c>
      <c r="S193">
        <v>11500</v>
      </c>
      <c r="T193" t="s">
        <v>67</v>
      </c>
      <c r="U193">
        <v>2</v>
      </c>
      <c r="V193">
        <v>1</v>
      </c>
      <c r="W193" t="s">
        <v>76</v>
      </c>
      <c r="X193">
        <v>95000</v>
      </c>
      <c r="Y193">
        <v>2025</v>
      </c>
      <c r="Z193">
        <v>3</v>
      </c>
      <c r="AA193">
        <v>2</v>
      </c>
      <c r="AB193" t="s">
        <v>44</v>
      </c>
      <c r="AC193" t="s">
        <v>45</v>
      </c>
      <c r="AD193" t="s">
        <v>99</v>
      </c>
      <c r="AE193" t="s">
        <v>100</v>
      </c>
      <c r="AF193" t="s">
        <v>48</v>
      </c>
    </row>
    <row r="194" spans="1:32" x14ac:dyDescent="0.3">
      <c r="A194">
        <v>1193</v>
      </c>
      <c r="B194" s="2">
        <v>45719</v>
      </c>
      <c r="C194" t="s">
        <v>107</v>
      </c>
      <c r="D194" t="s">
        <v>101</v>
      </c>
      <c r="E194" t="s">
        <v>51</v>
      </c>
      <c r="F194" t="s">
        <v>317</v>
      </c>
      <c r="G194" t="s">
        <v>36</v>
      </c>
      <c r="H194" t="s">
        <v>37</v>
      </c>
      <c r="I194">
        <v>40</v>
      </c>
      <c r="J194" t="s">
        <v>103</v>
      </c>
      <c r="K194" t="s">
        <v>39</v>
      </c>
      <c r="L194" t="s">
        <v>124</v>
      </c>
      <c r="M194" t="s">
        <v>41</v>
      </c>
      <c r="N194">
        <v>3</v>
      </c>
      <c r="O194">
        <v>1200</v>
      </c>
      <c r="P194">
        <v>10</v>
      </c>
      <c r="Q194">
        <v>3240</v>
      </c>
      <c r="R194">
        <v>2100</v>
      </c>
      <c r="S194">
        <v>1140</v>
      </c>
      <c r="T194" t="s">
        <v>42</v>
      </c>
      <c r="U194">
        <v>1</v>
      </c>
      <c r="V194">
        <v>7</v>
      </c>
      <c r="W194" t="s">
        <v>76</v>
      </c>
      <c r="X194">
        <v>9720</v>
      </c>
      <c r="Y194">
        <v>2025</v>
      </c>
      <c r="Z194">
        <v>3</v>
      </c>
      <c r="AA194">
        <v>3</v>
      </c>
      <c r="AB194" t="s">
        <v>110</v>
      </c>
      <c r="AC194" t="s">
        <v>111</v>
      </c>
      <c r="AD194" t="s">
        <v>99</v>
      </c>
      <c r="AE194" t="s">
        <v>100</v>
      </c>
      <c r="AF194" t="s">
        <v>48</v>
      </c>
    </row>
    <row r="195" spans="1:32" x14ac:dyDescent="0.3">
      <c r="A195">
        <v>1194</v>
      </c>
      <c r="B195" s="2">
        <v>45865</v>
      </c>
      <c r="C195" t="s">
        <v>72</v>
      </c>
      <c r="D195" t="s">
        <v>51</v>
      </c>
      <c r="E195" t="s">
        <v>51</v>
      </c>
      <c r="F195" t="s">
        <v>318</v>
      </c>
      <c r="G195" t="s">
        <v>66</v>
      </c>
      <c r="H195" t="s">
        <v>37</v>
      </c>
      <c r="I195">
        <v>25</v>
      </c>
      <c r="J195" t="s">
        <v>65</v>
      </c>
      <c r="K195" t="s">
        <v>56</v>
      </c>
      <c r="L195" t="s">
        <v>75</v>
      </c>
      <c r="M195" t="s">
        <v>95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67</v>
      </c>
      <c r="U195">
        <v>1</v>
      </c>
      <c r="V195">
        <v>5</v>
      </c>
      <c r="W195" t="s">
        <v>76</v>
      </c>
      <c r="X195">
        <v>1237500</v>
      </c>
      <c r="Y195">
        <v>2025</v>
      </c>
      <c r="Z195">
        <v>7</v>
      </c>
      <c r="AA195">
        <v>27</v>
      </c>
      <c r="AB195" t="s">
        <v>44</v>
      </c>
      <c r="AC195" t="s">
        <v>45</v>
      </c>
      <c r="AD195" t="s">
        <v>70</v>
      </c>
      <c r="AE195" t="s">
        <v>71</v>
      </c>
      <c r="AF195" t="s">
        <v>48</v>
      </c>
    </row>
    <row r="196" spans="1:32" x14ac:dyDescent="0.3">
      <c r="A196">
        <v>1195</v>
      </c>
      <c r="B196" s="2">
        <v>45408</v>
      </c>
      <c r="C196" t="s">
        <v>107</v>
      </c>
      <c r="D196" t="s">
        <v>101</v>
      </c>
      <c r="E196" t="s">
        <v>51</v>
      </c>
      <c r="F196" t="s">
        <v>319</v>
      </c>
      <c r="G196" t="s">
        <v>36</v>
      </c>
      <c r="H196" t="s">
        <v>54</v>
      </c>
      <c r="I196">
        <v>31</v>
      </c>
      <c r="J196" t="s">
        <v>90</v>
      </c>
      <c r="K196" t="s">
        <v>56</v>
      </c>
      <c r="L196" t="s">
        <v>140</v>
      </c>
      <c r="M196" t="s">
        <v>48</v>
      </c>
      <c r="N196">
        <v>5</v>
      </c>
      <c r="O196">
        <v>25000</v>
      </c>
      <c r="P196">
        <v>15</v>
      </c>
      <c r="Q196">
        <v>106250</v>
      </c>
      <c r="R196">
        <v>90000</v>
      </c>
      <c r="S196">
        <v>16250</v>
      </c>
      <c r="T196" t="s">
        <v>84</v>
      </c>
      <c r="U196">
        <v>3</v>
      </c>
      <c r="V196">
        <v>5</v>
      </c>
      <c r="W196" t="s">
        <v>43</v>
      </c>
      <c r="X196">
        <v>531250</v>
      </c>
      <c r="Y196">
        <v>2024</v>
      </c>
      <c r="Z196">
        <v>4</v>
      </c>
      <c r="AA196">
        <v>26</v>
      </c>
      <c r="AB196" t="s">
        <v>115</v>
      </c>
      <c r="AC196" t="s">
        <v>116</v>
      </c>
      <c r="AD196" t="s">
        <v>151</v>
      </c>
      <c r="AE196" t="s">
        <v>152</v>
      </c>
      <c r="AF196" t="s">
        <v>87</v>
      </c>
    </row>
    <row r="197" spans="1:32" x14ac:dyDescent="0.3">
      <c r="A197">
        <v>1196</v>
      </c>
      <c r="B197" s="2">
        <v>45515</v>
      </c>
      <c r="C197" t="s">
        <v>49</v>
      </c>
      <c r="D197" t="s">
        <v>51</v>
      </c>
      <c r="E197" t="s">
        <v>51</v>
      </c>
      <c r="F197" t="s">
        <v>320</v>
      </c>
      <c r="G197" t="s">
        <v>154</v>
      </c>
      <c r="H197" t="s">
        <v>37</v>
      </c>
      <c r="I197">
        <v>32</v>
      </c>
      <c r="J197" t="s">
        <v>134</v>
      </c>
      <c r="K197" t="s">
        <v>56</v>
      </c>
      <c r="L197" t="s">
        <v>40</v>
      </c>
      <c r="M197" t="s">
        <v>48</v>
      </c>
      <c r="N197">
        <v>5</v>
      </c>
      <c r="O197">
        <v>30000</v>
      </c>
      <c r="P197">
        <v>5</v>
      </c>
      <c r="Q197">
        <v>142500</v>
      </c>
      <c r="R197">
        <v>110000</v>
      </c>
      <c r="S197">
        <v>32500</v>
      </c>
      <c r="T197" t="s">
        <v>67</v>
      </c>
      <c r="U197">
        <v>5</v>
      </c>
      <c r="V197">
        <v>4</v>
      </c>
      <c r="W197" t="s">
        <v>43</v>
      </c>
      <c r="X197">
        <v>712500</v>
      </c>
      <c r="Y197">
        <v>2024</v>
      </c>
      <c r="Z197">
        <v>8</v>
      </c>
      <c r="AA197">
        <v>11</v>
      </c>
      <c r="AB197" t="s">
        <v>44</v>
      </c>
      <c r="AC197" t="s">
        <v>45</v>
      </c>
      <c r="AD197" t="s">
        <v>61</v>
      </c>
      <c r="AE197" t="s">
        <v>62</v>
      </c>
      <c r="AF197" t="s">
        <v>48</v>
      </c>
    </row>
    <row r="198" spans="1:32" x14ac:dyDescent="0.3">
      <c r="A198">
        <v>1197</v>
      </c>
      <c r="B198" s="2">
        <v>45794</v>
      </c>
      <c r="C198" t="s">
        <v>107</v>
      </c>
      <c r="D198" t="s">
        <v>81</v>
      </c>
      <c r="E198" t="s">
        <v>82</v>
      </c>
      <c r="F198" t="s">
        <v>321</v>
      </c>
      <c r="G198" t="s">
        <v>53</v>
      </c>
      <c r="H198" t="s">
        <v>37</v>
      </c>
      <c r="I198">
        <v>23</v>
      </c>
      <c r="J198" t="s">
        <v>38</v>
      </c>
      <c r="K198" t="s">
        <v>39</v>
      </c>
      <c r="L198" t="s">
        <v>40</v>
      </c>
      <c r="M198" t="s">
        <v>41</v>
      </c>
      <c r="N198">
        <v>5</v>
      </c>
      <c r="O198">
        <v>2000</v>
      </c>
      <c r="P198">
        <v>15</v>
      </c>
      <c r="Q198">
        <v>8500</v>
      </c>
      <c r="R198">
        <v>6000</v>
      </c>
      <c r="S198">
        <v>2500</v>
      </c>
      <c r="T198" t="s">
        <v>42</v>
      </c>
      <c r="U198">
        <v>3</v>
      </c>
      <c r="V198">
        <v>3</v>
      </c>
      <c r="W198" t="s">
        <v>43</v>
      </c>
      <c r="X198">
        <v>42500</v>
      </c>
      <c r="Y198">
        <v>2025</v>
      </c>
      <c r="Z198">
        <v>5</v>
      </c>
      <c r="AA198">
        <v>17</v>
      </c>
      <c r="AB198" t="s">
        <v>77</v>
      </c>
      <c r="AC198" t="s">
        <v>78</v>
      </c>
      <c r="AD198" t="s">
        <v>96</v>
      </c>
      <c r="AE198" t="s">
        <v>96</v>
      </c>
      <c r="AF198" t="s">
        <v>48</v>
      </c>
    </row>
    <row r="199" spans="1:32" x14ac:dyDescent="0.3">
      <c r="A199">
        <v>1198</v>
      </c>
      <c r="B199" s="2">
        <v>45427</v>
      </c>
      <c r="C199" t="s">
        <v>72</v>
      </c>
      <c r="D199" t="s">
        <v>33</v>
      </c>
      <c r="E199" t="s">
        <v>34</v>
      </c>
      <c r="F199" t="s">
        <v>322</v>
      </c>
      <c r="G199" t="s">
        <v>94</v>
      </c>
      <c r="H199" t="s">
        <v>54</v>
      </c>
      <c r="I199">
        <v>48</v>
      </c>
      <c r="J199" t="s">
        <v>134</v>
      </c>
      <c r="K199" t="s">
        <v>56</v>
      </c>
      <c r="L199" t="s">
        <v>64</v>
      </c>
      <c r="M199" t="s">
        <v>95</v>
      </c>
      <c r="N199">
        <v>4</v>
      </c>
      <c r="O199">
        <v>30000</v>
      </c>
      <c r="P199">
        <v>0</v>
      </c>
      <c r="Q199">
        <v>120000</v>
      </c>
      <c r="R199">
        <v>88000</v>
      </c>
      <c r="S199">
        <v>32000</v>
      </c>
      <c r="T199" t="s">
        <v>67</v>
      </c>
      <c r="U199">
        <v>3</v>
      </c>
      <c r="V199">
        <v>2</v>
      </c>
      <c r="W199" t="s">
        <v>76</v>
      </c>
      <c r="X199">
        <v>480000</v>
      </c>
      <c r="Y199">
        <v>2024</v>
      </c>
      <c r="Z199">
        <v>5</v>
      </c>
      <c r="AA199">
        <v>15</v>
      </c>
      <c r="AB199" t="s">
        <v>68</v>
      </c>
      <c r="AC199" t="s">
        <v>69</v>
      </c>
      <c r="AD199" t="s">
        <v>96</v>
      </c>
      <c r="AE199" t="s">
        <v>96</v>
      </c>
      <c r="AF199" t="s">
        <v>48</v>
      </c>
    </row>
    <row r="200" spans="1:32" x14ac:dyDescent="0.3">
      <c r="A200">
        <v>1199</v>
      </c>
      <c r="B200" s="2">
        <v>45752</v>
      </c>
      <c r="C200" t="s">
        <v>32</v>
      </c>
      <c r="D200" t="s">
        <v>81</v>
      </c>
      <c r="E200" t="s">
        <v>82</v>
      </c>
      <c r="F200" t="s">
        <v>323</v>
      </c>
      <c r="G200" t="s">
        <v>89</v>
      </c>
      <c r="H200" t="s">
        <v>54</v>
      </c>
      <c r="I200">
        <v>48</v>
      </c>
      <c r="J200" t="s">
        <v>90</v>
      </c>
      <c r="K200" t="s">
        <v>56</v>
      </c>
      <c r="L200" t="s">
        <v>66</v>
      </c>
      <c r="M200" t="s">
        <v>95</v>
      </c>
      <c r="N200">
        <v>2</v>
      </c>
      <c r="O200">
        <v>25000</v>
      </c>
      <c r="P200">
        <v>0</v>
      </c>
      <c r="Q200">
        <v>50000</v>
      </c>
      <c r="R200">
        <v>36000</v>
      </c>
      <c r="S200">
        <v>14000</v>
      </c>
      <c r="T200" t="s">
        <v>42</v>
      </c>
      <c r="U200">
        <v>2</v>
      </c>
      <c r="V200">
        <v>1</v>
      </c>
      <c r="W200" t="s">
        <v>76</v>
      </c>
      <c r="X200">
        <v>100000</v>
      </c>
      <c r="Y200">
        <v>2025</v>
      </c>
      <c r="Z200">
        <v>4</v>
      </c>
      <c r="AA200">
        <v>5</v>
      </c>
      <c r="AB200" t="s">
        <v>77</v>
      </c>
      <c r="AC200" t="s">
        <v>78</v>
      </c>
      <c r="AD200" t="s">
        <v>151</v>
      </c>
      <c r="AE200" t="s">
        <v>152</v>
      </c>
      <c r="AF200" t="s">
        <v>48</v>
      </c>
    </row>
    <row r="201" spans="1:32" x14ac:dyDescent="0.3">
      <c r="A201">
        <v>1201</v>
      </c>
      <c r="B201" s="2">
        <v>45662</v>
      </c>
      <c r="C201" t="s">
        <v>107</v>
      </c>
      <c r="D201" t="s">
        <v>50</v>
      </c>
      <c r="E201" t="s">
        <v>51</v>
      </c>
      <c r="F201" t="s">
        <v>324</v>
      </c>
      <c r="G201" t="s">
        <v>74</v>
      </c>
      <c r="H201" t="s">
        <v>54</v>
      </c>
      <c r="I201">
        <v>34</v>
      </c>
      <c r="J201" t="s">
        <v>65</v>
      </c>
      <c r="K201" t="s">
        <v>56</v>
      </c>
      <c r="L201" t="s">
        <v>75</v>
      </c>
      <c r="M201" t="s">
        <v>48</v>
      </c>
      <c r="N201">
        <v>2</v>
      </c>
      <c r="O201">
        <v>55000</v>
      </c>
      <c r="P201">
        <v>5</v>
      </c>
      <c r="Q201">
        <v>104500</v>
      </c>
      <c r="R201">
        <v>85000</v>
      </c>
      <c r="S201">
        <v>19500</v>
      </c>
      <c r="T201" t="s">
        <v>42</v>
      </c>
      <c r="U201">
        <v>5</v>
      </c>
      <c r="V201">
        <v>2</v>
      </c>
      <c r="W201" t="s">
        <v>43</v>
      </c>
      <c r="X201">
        <v>209000</v>
      </c>
      <c r="Y201">
        <v>2025</v>
      </c>
      <c r="Z201">
        <v>1</v>
      </c>
      <c r="AA201">
        <v>5</v>
      </c>
      <c r="AB201" t="s">
        <v>44</v>
      </c>
      <c r="AC201" t="s">
        <v>45</v>
      </c>
      <c r="AD201" t="s">
        <v>119</v>
      </c>
      <c r="AE201" t="s">
        <v>120</v>
      </c>
      <c r="AF201" t="s">
        <v>48</v>
      </c>
    </row>
    <row r="202" spans="1:32" x14ac:dyDescent="0.3">
      <c r="A202">
        <v>1202</v>
      </c>
      <c r="B202" s="2">
        <v>45663</v>
      </c>
      <c r="C202" t="s">
        <v>107</v>
      </c>
      <c r="D202" t="s">
        <v>50</v>
      </c>
      <c r="E202" t="s">
        <v>129</v>
      </c>
      <c r="F202" t="s">
        <v>325</v>
      </c>
      <c r="G202" t="s">
        <v>92</v>
      </c>
      <c r="H202" t="s">
        <v>37</v>
      </c>
      <c r="I202">
        <v>29</v>
      </c>
      <c r="J202" t="s">
        <v>90</v>
      </c>
      <c r="K202" t="s">
        <v>56</v>
      </c>
      <c r="L202" t="s">
        <v>57</v>
      </c>
      <c r="M202" t="s">
        <v>58</v>
      </c>
      <c r="N202">
        <v>3</v>
      </c>
      <c r="O202">
        <v>25000</v>
      </c>
      <c r="P202">
        <v>10</v>
      </c>
      <c r="Q202">
        <v>67500</v>
      </c>
      <c r="R202">
        <v>50000</v>
      </c>
      <c r="S202">
        <v>17500</v>
      </c>
      <c r="T202" t="s">
        <v>105</v>
      </c>
      <c r="U202">
        <v>4</v>
      </c>
      <c r="V202">
        <v>3</v>
      </c>
      <c r="W202" t="s">
        <v>43</v>
      </c>
      <c r="X202">
        <v>202500</v>
      </c>
      <c r="Y202">
        <v>2025</v>
      </c>
      <c r="Z202">
        <v>1</v>
      </c>
      <c r="AA202">
        <v>6</v>
      </c>
      <c r="AB202" t="s">
        <v>110</v>
      </c>
      <c r="AC202" t="s">
        <v>111</v>
      </c>
      <c r="AD202" t="s">
        <v>119</v>
      </c>
      <c r="AE202" t="s">
        <v>120</v>
      </c>
      <c r="AF202" t="s">
        <v>106</v>
      </c>
    </row>
    <row r="203" spans="1:32" x14ac:dyDescent="0.3">
      <c r="A203">
        <v>1203</v>
      </c>
      <c r="B203" s="2">
        <v>45664</v>
      </c>
      <c r="C203" t="s">
        <v>107</v>
      </c>
      <c r="D203" t="s">
        <v>50</v>
      </c>
      <c r="E203" t="s">
        <v>129</v>
      </c>
      <c r="F203" t="s">
        <v>326</v>
      </c>
      <c r="G203" t="s">
        <v>94</v>
      </c>
      <c r="H203" t="s">
        <v>54</v>
      </c>
      <c r="I203">
        <v>39</v>
      </c>
      <c r="J203" t="s">
        <v>134</v>
      </c>
      <c r="K203" t="s">
        <v>56</v>
      </c>
      <c r="L203" t="s">
        <v>124</v>
      </c>
      <c r="M203" t="s">
        <v>41</v>
      </c>
      <c r="N203">
        <v>1</v>
      </c>
      <c r="O203">
        <v>30000</v>
      </c>
      <c r="P203">
        <v>5</v>
      </c>
      <c r="Q203">
        <v>28500</v>
      </c>
      <c r="R203">
        <v>22000</v>
      </c>
      <c r="S203">
        <v>6500</v>
      </c>
      <c r="T203" t="s">
        <v>84</v>
      </c>
      <c r="U203">
        <v>5</v>
      </c>
      <c r="V203">
        <v>4</v>
      </c>
      <c r="W203" t="s">
        <v>43</v>
      </c>
      <c r="X203">
        <v>28500</v>
      </c>
      <c r="Y203">
        <v>2025</v>
      </c>
      <c r="Z203">
        <v>1</v>
      </c>
      <c r="AA203">
        <v>7</v>
      </c>
      <c r="AB203" t="s">
        <v>59</v>
      </c>
      <c r="AC203" t="s">
        <v>60</v>
      </c>
      <c r="AD203" t="s">
        <v>119</v>
      </c>
      <c r="AE203" t="s">
        <v>120</v>
      </c>
      <c r="AF203" t="s">
        <v>87</v>
      </c>
    </row>
    <row r="204" spans="1:32" x14ac:dyDescent="0.3">
      <c r="A204">
        <v>1204</v>
      </c>
      <c r="B204" s="2">
        <v>45665</v>
      </c>
      <c r="C204" t="s">
        <v>107</v>
      </c>
      <c r="D204" t="s">
        <v>50</v>
      </c>
      <c r="E204" t="s">
        <v>51</v>
      </c>
      <c r="F204" t="s">
        <v>327</v>
      </c>
      <c r="G204" t="s">
        <v>36</v>
      </c>
      <c r="H204" t="s">
        <v>37</v>
      </c>
      <c r="I204">
        <v>26</v>
      </c>
      <c r="J204" t="s">
        <v>65</v>
      </c>
      <c r="K204" t="s">
        <v>56</v>
      </c>
      <c r="L204" t="s">
        <v>104</v>
      </c>
      <c r="M204" t="s">
        <v>48</v>
      </c>
      <c r="N204">
        <v>2</v>
      </c>
      <c r="O204">
        <v>55000</v>
      </c>
      <c r="P204">
        <v>8</v>
      </c>
      <c r="Q204">
        <v>104500</v>
      </c>
      <c r="R204">
        <v>85000</v>
      </c>
      <c r="S204">
        <v>19500</v>
      </c>
      <c r="T204" t="s">
        <v>42</v>
      </c>
      <c r="U204">
        <v>4</v>
      </c>
      <c r="V204">
        <v>2</v>
      </c>
      <c r="W204" t="s">
        <v>43</v>
      </c>
      <c r="X204">
        <v>209000</v>
      </c>
      <c r="Y204">
        <v>2025</v>
      </c>
      <c r="Z204">
        <v>1</v>
      </c>
      <c r="AA204">
        <v>8</v>
      </c>
      <c r="AB204" t="s">
        <v>68</v>
      </c>
      <c r="AC204" t="s">
        <v>69</v>
      </c>
      <c r="AD204" t="s">
        <v>119</v>
      </c>
      <c r="AE204" t="s">
        <v>120</v>
      </c>
      <c r="AF204" t="s">
        <v>48</v>
      </c>
    </row>
    <row r="205" spans="1:32" x14ac:dyDescent="0.3">
      <c r="A205">
        <v>1205</v>
      </c>
      <c r="B205" s="2">
        <v>45666</v>
      </c>
      <c r="C205" t="s">
        <v>32</v>
      </c>
      <c r="D205" t="s">
        <v>51</v>
      </c>
      <c r="E205" t="s">
        <v>51</v>
      </c>
      <c r="F205" t="s">
        <v>328</v>
      </c>
      <c r="G205" t="s">
        <v>64</v>
      </c>
      <c r="H205" t="s">
        <v>54</v>
      </c>
      <c r="I205">
        <v>38</v>
      </c>
      <c r="J205" t="s">
        <v>90</v>
      </c>
      <c r="K205" t="s">
        <v>56</v>
      </c>
      <c r="L205" t="s">
        <v>75</v>
      </c>
      <c r="M205" t="s">
        <v>58</v>
      </c>
      <c r="N205">
        <v>5</v>
      </c>
      <c r="O205">
        <v>2000</v>
      </c>
      <c r="P205">
        <v>0</v>
      </c>
      <c r="Q205">
        <v>10000</v>
      </c>
      <c r="R205">
        <v>6000</v>
      </c>
      <c r="S205">
        <v>4000</v>
      </c>
      <c r="T205" t="s">
        <v>84</v>
      </c>
      <c r="U205">
        <v>3</v>
      </c>
      <c r="V205">
        <v>5</v>
      </c>
      <c r="W205" t="s">
        <v>43</v>
      </c>
      <c r="X205">
        <v>50000</v>
      </c>
      <c r="Y205">
        <v>2025</v>
      </c>
      <c r="Z205">
        <v>1</v>
      </c>
      <c r="AA205">
        <v>9</v>
      </c>
      <c r="AB205" t="s">
        <v>135</v>
      </c>
      <c r="AC205" t="s">
        <v>136</v>
      </c>
      <c r="AD205" t="s">
        <v>119</v>
      </c>
      <c r="AE205" t="s">
        <v>120</v>
      </c>
      <c r="AF205" t="s">
        <v>87</v>
      </c>
    </row>
    <row r="206" spans="1:32" x14ac:dyDescent="0.3">
      <c r="A206">
        <v>1206</v>
      </c>
      <c r="B206" s="2">
        <v>45667</v>
      </c>
      <c r="C206" t="s">
        <v>49</v>
      </c>
      <c r="D206" t="s">
        <v>81</v>
      </c>
      <c r="E206" t="s">
        <v>82</v>
      </c>
      <c r="F206" t="s">
        <v>329</v>
      </c>
      <c r="G206" t="s">
        <v>154</v>
      </c>
      <c r="H206" t="s">
        <v>37</v>
      </c>
      <c r="I206">
        <v>31</v>
      </c>
      <c r="J206" t="s">
        <v>55</v>
      </c>
      <c r="K206" t="s">
        <v>56</v>
      </c>
      <c r="L206" t="s">
        <v>57</v>
      </c>
      <c r="M206" t="s">
        <v>48</v>
      </c>
      <c r="N206">
        <v>2</v>
      </c>
      <c r="O206">
        <v>18754.14</v>
      </c>
      <c r="P206">
        <v>5</v>
      </c>
      <c r="Q206">
        <v>28500</v>
      </c>
      <c r="R206">
        <v>22000</v>
      </c>
      <c r="S206">
        <v>6500</v>
      </c>
      <c r="T206" t="s">
        <v>105</v>
      </c>
      <c r="U206">
        <v>4</v>
      </c>
      <c r="V206">
        <v>3</v>
      </c>
      <c r="W206" t="s">
        <v>43</v>
      </c>
      <c r="X206">
        <v>57000</v>
      </c>
      <c r="Y206">
        <v>2025</v>
      </c>
      <c r="Z206">
        <v>1</v>
      </c>
      <c r="AA206">
        <v>10</v>
      </c>
      <c r="AB206" t="s">
        <v>115</v>
      </c>
      <c r="AC206" t="s">
        <v>116</v>
      </c>
      <c r="AD206" t="s">
        <v>119</v>
      </c>
      <c r="AE206" t="s">
        <v>120</v>
      </c>
      <c r="AF206" t="s">
        <v>106</v>
      </c>
    </row>
    <row r="207" spans="1:32" x14ac:dyDescent="0.3">
      <c r="A207">
        <v>1207</v>
      </c>
      <c r="B207" s="2">
        <v>45668</v>
      </c>
      <c r="C207" t="s">
        <v>72</v>
      </c>
      <c r="D207" t="s">
        <v>33</v>
      </c>
      <c r="E207" t="s">
        <v>34</v>
      </c>
      <c r="F207" t="s">
        <v>330</v>
      </c>
      <c r="G207" t="s">
        <v>53</v>
      </c>
      <c r="H207" t="s">
        <v>54</v>
      </c>
      <c r="I207">
        <v>45</v>
      </c>
      <c r="J207" t="s">
        <v>98</v>
      </c>
      <c r="K207" t="s">
        <v>56</v>
      </c>
      <c r="L207" t="s">
        <v>124</v>
      </c>
      <c r="M207" t="s">
        <v>58</v>
      </c>
      <c r="N207">
        <v>2</v>
      </c>
      <c r="O207">
        <v>10000</v>
      </c>
      <c r="P207">
        <v>5</v>
      </c>
      <c r="Q207">
        <v>47607.18</v>
      </c>
      <c r="R207">
        <v>15000</v>
      </c>
      <c r="S207">
        <v>-34000</v>
      </c>
      <c r="T207" t="s">
        <v>84</v>
      </c>
      <c r="U207">
        <v>2</v>
      </c>
      <c r="V207">
        <v>7</v>
      </c>
      <c r="W207" t="s">
        <v>76</v>
      </c>
      <c r="X207">
        <v>95214.36</v>
      </c>
      <c r="Y207">
        <v>2025</v>
      </c>
      <c r="Z207">
        <v>1</v>
      </c>
      <c r="AA207">
        <v>11</v>
      </c>
      <c r="AB207" t="s">
        <v>77</v>
      </c>
      <c r="AC207" t="s">
        <v>78</v>
      </c>
      <c r="AD207" t="s">
        <v>119</v>
      </c>
      <c r="AE207" t="s">
        <v>120</v>
      </c>
      <c r="AF207" t="s">
        <v>87</v>
      </c>
    </row>
    <row r="208" spans="1:32" x14ac:dyDescent="0.3">
      <c r="A208">
        <v>1208</v>
      </c>
      <c r="B208" s="2">
        <v>45669</v>
      </c>
      <c r="C208" t="s">
        <v>107</v>
      </c>
      <c r="D208" t="s">
        <v>101</v>
      </c>
      <c r="E208" t="s">
        <v>51</v>
      </c>
      <c r="F208" t="s">
        <v>331</v>
      </c>
      <c r="G208" t="s">
        <v>66</v>
      </c>
      <c r="H208" t="s">
        <v>37</v>
      </c>
      <c r="I208">
        <v>27</v>
      </c>
      <c r="J208" t="s">
        <v>103</v>
      </c>
      <c r="K208" t="s">
        <v>39</v>
      </c>
      <c r="L208" t="s">
        <v>104</v>
      </c>
      <c r="M208" t="s">
        <v>41</v>
      </c>
      <c r="N208">
        <v>2</v>
      </c>
      <c r="O208">
        <v>1200</v>
      </c>
      <c r="P208">
        <v>5</v>
      </c>
      <c r="Q208">
        <v>1140</v>
      </c>
      <c r="R208">
        <v>700</v>
      </c>
      <c r="S208">
        <v>440</v>
      </c>
      <c r="T208" t="s">
        <v>42</v>
      </c>
      <c r="U208">
        <v>5</v>
      </c>
      <c r="V208">
        <v>2</v>
      </c>
      <c r="W208" t="s">
        <v>43</v>
      </c>
      <c r="X208">
        <v>2280</v>
      </c>
      <c r="Y208">
        <v>2025</v>
      </c>
      <c r="Z208">
        <v>1</v>
      </c>
      <c r="AA208">
        <v>12</v>
      </c>
      <c r="AB208" t="s">
        <v>44</v>
      </c>
      <c r="AC208" t="s">
        <v>45</v>
      </c>
      <c r="AD208" t="s">
        <v>119</v>
      </c>
      <c r="AE208" t="s">
        <v>120</v>
      </c>
      <c r="AF208" t="s">
        <v>48</v>
      </c>
    </row>
    <row r="209" spans="1:32" x14ac:dyDescent="0.3">
      <c r="A209">
        <v>1209</v>
      </c>
      <c r="B209" s="2">
        <v>45670</v>
      </c>
      <c r="C209" t="s">
        <v>107</v>
      </c>
      <c r="D209" t="s">
        <v>101</v>
      </c>
      <c r="E209" t="s">
        <v>127</v>
      </c>
      <c r="F209" t="s">
        <v>332</v>
      </c>
      <c r="G209" t="s">
        <v>118</v>
      </c>
      <c r="H209" t="s">
        <v>37</v>
      </c>
      <c r="I209">
        <v>36</v>
      </c>
      <c r="J209" t="s">
        <v>109</v>
      </c>
      <c r="K209" t="s">
        <v>39</v>
      </c>
      <c r="L209" t="s">
        <v>75</v>
      </c>
      <c r="M209" t="s">
        <v>48</v>
      </c>
      <c r="N209">
        <v>3</v>
      </c>
      <c r="O209">
        <v>800</v>
      </c>
      <c r="P209">
        <v>10</v>
      </c>
      <c r="Q209">
        <v>2160</v>
      </c>
      <c r="R209">
        <v>1200</v>
      </c>
      <c r="S209">
        <v>960</v>
      </c>
      <c r="T209" t="s">
        <v>105</v>
      </c>
      <c r="U209">
        <v>3</v>
      </c>
      <c r="V209">
        <v>4</v>
      </c>
      <c r="W209" t="s">
        <v>43</v>
      </c>
      <c r="X209">
        <v>6480</v>
      </c>
      <c r="Y209">
        <v>2025</v>
      </c>
      <c r="Z209">
        <v>1</v>
      </c>
      <c r="AA209">
        <v>13</v>
      </c>
      <c r="AB209" t="s">
        <v>110</v>
      </c>
      <c r="AC209" t="s">
        <v>111</v>
      </c>
      <c r="AD209" t="s">
        <v>119</v>
      </c>
      <c r="AE209" t="s">
        <v>120</v>
      </c>
      <c r="AF209" t="s">
        <v>106</v>
      </c>
    </row>
    <row r="210" spans="1:32" x14ac:dyDescent="0.3">
      <c r="A210">
        <v>1210</v>
      </c>
      <c r="B210" s="2">
        <v>45671</v>
      </c>
      <c r="C210" t="s">
        <v>107</v>
      </c>
      <c r="D210" t="s">
        <v>101</v>
      </c>
      <c r="E210" t="s">
        <v>127</v>
      </c>
      <c r="F210" t="s">
        <v>333</v>
      </c>
      <c r="G210" t="s">
        <v>89</v>
      </c>
      <c r="H210" t="s">
        <v>54</v>
      </c>
      <c r="I210">
        <v>32</v>
      </c>
      <c r="J210" t="s">
        <v>38</v>
      </c>
      <c r="K210" t="s">
        <v>39</v>
      </c>
      <c r="L210" t="s">
        <v>57</v>
      </c>
      <c r="M210" t="s">
        <v>58</v>
      </c>
      <c r="N210">
        <v>4</v>
      </c>
      <c r="O210">
        <v>2000</v>
      </c>
      <c r="P210">
        <v>0</v>
      </c>
      <c r="Q210">
        <v>8000</v>
      </c>
      <c r="R210">
        <v>5000</v>
      </c>
      <c r="S210">
        <v>3000</v>
      </c>
      <c r="T210" t="s">
        <v>84</v>
      </c>
      <c r="U210">
        <v>6</v>
      </c>
      <c r="V210">
        <v>6</v>
      </c>
      <c r="W210" t="s">
        <v>43</v>
      </c>
      <c r="X210">
        <v>32000</v>
      </c>
      <c r="Y210">
        <v>2025</v>
      </c>
      <c r="Z210">
        <v>1</v>
      </c>
      <c r="AA210">
        <v>14</v>
      </c>
      <c r="AB210" t="s">
        <v>59</v>
      </c>
      <c r="AC210" t="s">
        <v>60</v>
      </c>
      <c r="AD210" t="s">
        <v>119</v>
      </c>
      <c r="AE210" t="s">
        <v>120</v>
      </c>
      <c r="AF210" t="s">
        <v>87</v>
      </c>
    </row>
    <row r="211" spans="1:32" x14ac:dyDescent="0.3">
      <c r="A211">
        <v>1211</v>
      </c>
      <c r="B211" s="2">
        <v>45672</v>
      </c>
      <c r="C211" t="s">
        <v>49</v>
      </c>
      <c r="D211" t="s">
        <v>334</v>
      </c>
      <c r="E211" t="s">
        <v>335</v>
      </c>
      <c r="F211" t="s">
        <v>336</v>
      </c>
      <c r="G211" t="s">
        <v>123</v>
      </c>
      <c r="H211" t="s">
        <v>54</v>
      </c>
      <c r="I211">
        <v>39</v>
      </c>
      <c r="J211" t="s">
        <v>65</v>
      </c>
      <c r="K211" t="s">
        <v>56</v>
      </c>
      <c r="L211" t="s">
        <v>124</v>
      </c>
      <c r="M211" t="s">
        <v>48</v>
      </c>
      <c r="N211">
        <v>2</v>
      </c>
      <c r="O211">
        <v>55000</v>
      </c>
      <c r="P211">
        <v>5</v>
      </c>
      <c r="Q211">
        <v>104500</v>
      </c>
      <c r="R211">
        <v>85000</v>
      </c>
      <c r="S211">
        <v>19500</v>
      </c>
      <c r="T211" t="s">
        <v>42</v>
      </c>
      <c r="U211">
        <v>5</v>
      </c>
      <c r="V211">
        <v>3</v>
      </c>
      <c r="W211" t="s">
        <v>43</v>
      </c>
      <c r="X211">
        <v>209000</v>
      </c>
      <c r="Y211">
        <v>2025</v>
      </c>
      <c r="Z211">
        <v>1</v>
      </c>
      <c r="AA211">
        <v>15</v>
      </c>
      <c r="AB211" t="s">
        <v>68</v>
      </c>
      <c r="AC211" t="s">
        <v>69</v>
      </c>
      <c r="AD211" t="s">
        <v>119</v>
      </c>
      <c r="AE211" t="s">
        <v>120</v>
      </c>
      <c r="AF211" t="s">
        <v>48</v>
      </c>
    </row>
    <row r="212" spans="1:32" x14ac:dyDescent="0.3">
      <c r="A212">
        <v>1212</v>
      </c>
      <c r="B212" s="2">
        <v>45673</v>
      </c>
      <c r="C212" t="s">
        <v>49</v>
      </c>
      <c r="D212" t="s">
        <v>334</v>
      </c>
      <c r="E212" t="s">
        <v>335</v>
      </c>
      <c r="F212" t="s">
        <v>337</v>
      </c>
      <c r="G212" t="s">
        <v>169</v>
      </c>
      <c r="H212" t="s">
        <v>37</v>
      </c>
      <c r="I212">
        <v>39</v>
      </c>
      <c r="J212" t="s">
        <v>90</v>
      </c>
      <c r="K212" t="s">
        <v>56</v>
      </c>
      <c r="L212" t="s">
        <v>104</v>
      </c>
      <c r="M212" t="s">
        <v>58</v>
      </c>
      <c r="N212">
        <v>3</v>
      </c>
      <c r="O212">
        <v>25000</v>
      </c>
      <c r="P212">
        <v>10</v>
      </c>
      <c r="Q212">
        <v>67500</v>
      </c>
      <c r="R212">
        <v>50000</v>
      </c>
      <c r="S212">
        <v>17500</v>
      </c>
      <c r="T212" t="s">
        <v>105</v>
      </c>
      <c r="U212">
        <v>4</v>
      </c>
      <c r="V212">
        <v>2</v>
      </c>
      <c r="W212" t="s">
        <v>43</v>
      </c>
      <c r="X212">
        <v>202500</v>
      </c>
      <c r="Y212">
        <v>2025</v>
      </c>
      <c r="Z212">
        <v>1</v>
      </c>
      <c r="AA212">
        <v>16</v>
      </c>
      <c r="AB212" t="s">
        <v>135</v>
      </c>
      <c r="AC212" t="s">
        <v>136</v>
      </c>
      <c r="AD212" t="s">
        <v>119</v>
      </c>
      <c r="AE212" t="s">
        <v>120</v>
      </c>
      <c r="AF212" t="s">
        <v>106</v>
      </c>
    </row>
    <row r="213" spans="1:32" x14ac:dyDescent="0.3">
      <c r="A213">
        <v>1213</v>
      </c>
      <c r="B213" s="2">
        <v>45674</v>
      </c>
      <c r="C213" t="s">
        <v>32</v>
      </c>
      <c r="D213" t="s">
        <v>338</v>
      </c>
      <c r="E213" t="s">
        <v>339</v>
      </c>
      <c r="F213" t="s">
        <v>340</v>
      </c>
      <c r="G213" t="s">
        <v>341</v>
      </c>
      <c r="H213" t="s">
        <v>54</v>
      </c>
      <c r="I213">
        <v>37</v>
      </c>
      <c r="J213" t="s">
        <v>134</v>
      </c>
      <c r="K213" t="s">
        <v>56</v>
      </c>
      <c r="L213" t="s">
        <v>75</v>
      </c>
      <c r="M213" t="s">
        <v>41</v>
      </c>
      <c r="N213">
        <v>1</v>
      </c>
      <c r="O213">
        <v>30000</v>
      </c>
      <c r="P213">
        <v>95</v>
      </c>
      <c r="Q213">
        <v>1500</v>
      </c>
      <c r="R213">
        <v>22000</v>
      </c>
      <c r="S213">
        <v>-20500</v>
      </c>
      <c r="T213" t="s">
        <v>42</v>
      </c>
      <c r="U213">
        <v>5</v>
      </c>
      <c r="V213">
        <v>3</v>
      </c>
      <c r="W213" t="s">
        <v>43</v>
      </c>
      <c r="X213">
        <v>1500</v>
      </c>
      <c r="Y213">
        <v>2025</v>
      </c>
      <c r="Z213">
        <v>1</v>
      </c>
      <c r="AA213">
        <v>17</v>
      </c>
      <c r="AB213" t="s">
        <v>115</v>
      </c>
      <c r="AC213" t="s">
        <v>116</v>
      </c>
      <c r="AD213" t="s">
        <v>119</v>
      </c>
      <c r="AE213" t="s">
        <v>120</v>
      </c>
      <c r="AF213" t="s">
        <v>48</v>
      </c>
    </row>
    <row r="214" spans="1:32" x14ac:dyDescent="0.3">
      <c r="A214">
        <v>1214</v>
      </c>
      <c r="B214" s="2">
        <v>45675</v>
      </c>
      <c r="C214" t="s">
        <v>107</v>
      </c>
      <c r="D214" t="s">
        <v>342</v>
      </c>
      <c r="E214" t="s">
        <v>343</v>
      </c>
      <c r="F214" t="s">
        <v>344</v>
      </c>
      <c r="G214" t="s">
        <v>345</v>
      </c>
      <c r="H214" t="s">
        <v>37</v>
      </c>
      <c r="I214">
        <v>28</v>
      </c>
      <c r="J214" t="s">
        <v>65</v>
      </c>
      <c r="K214" t="s">
        <v>56</v>
      </c>
      <c r="L214" t="s">
        <v>57</v>
      </c>
      <c r="M214" t="s">
        <v>48</v>
      </c>
      <c r="N214">
        <v>2</v>
      </c>
      <c r="O214">
        <v>55000</v>
      </c>
      <c r="P214">
        <v>5</v>
      </c>
      <c r="Q214">
        <v>104500</v>
      </c>
      <c r="R214">
        <v>85000</v>
      </c>
      <c r="S214">
        <v>50000</v>
      </c>
      <c r="T214" t="s">
        <v>105</v>
      </c>
      <c r="U214">
        <v>4</v>
      </c>
      <c r="V214">
        <v>2</v>
      </c>
      <c r="W214" t="s">
        <v>43</v>
      </c>
      <c r="X214">
        <v>209000</v>
      </c>
      <c r="Y214">
        <v>2025</v>
      </c>
      <c r="Z214">
        <v>1</v>
      </c>
      <c r="AA214">
        <v>18</v>
      </c>
      <c r="AB214" t="s">
        <v>77</v>
      </c>
      <c r="AC214" t="s">
        <v>78</v>
      </c>
      <c r="AD214" t="s">
        <v>119</v>
      </c>
      <c r="AE214" t="s">
        <v>120</v>
      </c>
      <c r="AF214" t="s">
        <v>106</v>
      </c>
    </row>
    <row r="215" spans="1:32" x14ac:dyDescent="0.3">
      <c r="A215">
        <v>1215</v>
      </c>
      <c r="B215" s="2">
        <v>45676</v>
      </c>
      <c r="C215" t="s">
        <v>72</v>
      </c>
      <c r="D215" t="s">
        <v>346</v>
      </c>
      <c r="E215" t="s">
        <v>347</v>
      </c>
      <c r="F215" t="s">
        <v>348</v>
      </c>
      <c r="G215" t="s">
        <v>349</v>
      </c>
      <c r="H215" t="s">
        <v>54</v>
      </c>
      <c r="I215">
        <v>33</v>
      </c>
      <c r="J215" t="s">
        <v>38</v>
      </c>
      <c r="K215" t="s">
        <v>39</v>
      </c>
      <c r="L215" t="s">
        <v>124</v>
      </c>
      <c r="M215" t="s">
        <v>58</v>
      </c>
      <c r="N215">
        <v>5</v>
      </c>
      <c r="O215">
        <v>2000</v>
      </c>
      <c r="P215">
        <v>0</v>
      </c>
      <c r="Q215">
        <v>10000</v>
      </c>
      <c r="R215">
        <v>6000</v>
      </c>
      <c r="S215">
        <v>4000</v>
      </c>
      <c r="T215" t="s">
        <v>67</v>
      </c>
      <c r="U215">
        <v>3</v>
      </c>
      <c r="V215">
        <v>5</v>
      </c>
      <c r="W215" t="s">
        <v>43</v>
      </c>
      <c r="X215">
        <v>50000</v>
      </c>
      <c r="Y215">
        <v>2025</v>
      </c>
      <c r="Z215">
        <v>1</v>
      </c>
      <c r="AA215">
        <v>19</v>
      </c>
      <c r="AB215" t="s">
        <v>44</v>
      </c>
      <c r="AC215" t="s">
        <v>45</v>
      </c>
      <c r="AD215" t="s">
        <v>119</v>
      </c>
      <c r="AE215" t="s">
        <v>120</v>
      </c>
      <c r="AF215" t="s">
        <v>48</v>
      </c>
    </row>
    <row r="216" spans="1:32" x14ac:dyDescent="0.3">
      <c r="A216">
        <v>1216</v>
      </c>
      <c r="B216" s="2">
        <v>45677</v>
      </c>
      <c r="C216" t="s">
        <v>49</v>
      </c>
      <c r="D216" t="s">
        <v>350</v>
      </c>
      <c r="E216" t="s">
        <v>351</v>
      </c>
      <c r="F216" t="s">
        <v>352</v>
      </c>
      <c r="G216" t="s">
        <v>353</v>
      </c>
      <c r="H216" t="s">
        <v>37</v>
      </c>
      <c r="I216">
        <v>30</v>
      </c>
      <c r="J216" t="s">
        <v>90</v>
      </c>
      <c r="K216" t="s">
        <v>56</v>
      </c>
      <c r="L216" t="s">
        <v>104</v>
      </c>
      <c r="M216" t="s">
        <v>48</v>
      </c>
      <c r="N216">
        <v>2</v>
      </c>
      <c r="O216">
        <v>25000</v>
      </c>
      <c r="P216">
        <v>10</v>
      </c>
      <c r="Q216">
        <v>47607.18</v>
      </c>
      <c r="R216">
        <v>50000</v>
      </c>
      <c r="S216">
        <v>17500</v>
      </c>
      <c r="T216" t="s">
        <v>42</v>
      </c>
      <c r="U216">
        <v>4</v>
      </c>
      <c r="V216">
        <v>3</v>
      </c>
      <c r="W216" t="s">
        <v>43</v>
      </c>
      <c r="X216">
        <v>95214.36</v>
      </c>
      <c r="Y216">
        <v>2025</v>
      </c>
      <c r="Z216">
        <v>1</v>
      </c>
      <c r="AA216">
        <v>20</v>
      </c>
      <c r="AB216" t="s">
        <v>110</v>
      </c>
      <c r="AC216" t="s">
        <v>111</v>
      </c>
      <c r="AD216" t="s">
        <v>119</v>
      </c>
      <c r="AE216" t="s">
        <v>120</v>
      </c>
      <c r="AF216" t="s">
        <v>48</v>
      </c>
    </row>
    <row r="217" spans="1:32" x14ac:dyDescent="0.3">
      <c r="A217">
        <v>1217</v>
      </c>
      <c r="B217" s="2">
        <v>45678</v>
      </c>
      <c r="C217" t="s">
        <v>32</v>
      </c>
      <c r="D217" t="s">
        <v>51</v>
      </c>
      <c r="E217" t="s">
        <v>51</v>
      </c>
      <c r="F217" t="s">
        <v>354</v>
      </c>
      <c r="G217" t="s">
        <v>355</v>
      </c>
      <c r="H217" t="s">
        <v>54</v>
      </c>
      <c r="I217">
        <v>39</v>
      </c>
      <c r="J217" t="s">
        <v>65</v>
      </c>
      <c r="K217" t="s">
        <v>56</v>
      </c>
      <c r="L217" t="s">
        <v>75</v>
      </c>
      <c r="M217" t="s">
        <v>58</v>
      </c>
      <c r="N217">
        <v>2</v>
      </c>
      <c r="O217">
        <v>55000</v>
      </c>
      <c r="P217">
        <v>5</v>
      </c>
      <c r="Q217">
        <v>104500</v>
      </c>
      <c r="R217">
        <v>38011.19</v>
      </c>
      <c r="S217">
        <v>19500</v>
      </c>
      <c r="T217" t="s">
        <v>105</v>
      </c>
      <c r="U217">
        <v>5</v>
      </c>
      <c r="V217">
        <v>2</v>
      </c>
      <c r="W217" t="s">
        <v>43</v>
      </c>
      <c r="X217">
        <v>209000</v>
      </c>
      <c r="Y217">
        <v>2025</v>
      </c>
      <c r="Z217">
        <v>1</v>
      </c>
      <c r="AA217">
        <v>21</v>
      </c>
      <c r="AB217" t="s">
        <v>59</v>
      </c>
      <c r="AC217" t="s">
        <v>60</v>
      </c>
      <c r="AD217" t="s">
        <v>119</v>
      </c>
      <c r="AE217" t="s">
        <v>120</v>
      </c>
      <c r="AF217" t="s">
        <v>106</v>
      </c>
    </row>
    <row r="218" spans="1:32" x14ac:dyDescent="0.3">
      <c r="A218">
        <v>1218</v>
      </c>
      <c r="B218" s="2">
        <v>45679</v>
      </c>
      <c r="C218" t="s">
        <v>107</v>
      </c>
      <c r="D218" t="s">
        <v>356</v>
      </c>
      <c r="E218" t="s">
        <v>357</v>
      </c>
      <c r="F218" t="s">
        <v>358</v>
      </c>
      <c r="G218" t="s">
        <v>359</v>
      </c>
      <c r="H218" t="s">
        <v>37</v>
      </c>
      <c r="I218">
        <v>35</v>
      </c>
      <c r="J218" t="s">
        <v>134</v>
      </c>
      <c r="K218" t="s">
        <v>56</v>
      </c>
      <c r="L218" t="s">
        <v>57</v>
      </c>
      <c r="M218" t="s">
        <v>41</v>
      </c>
      <c r="N218">
        <v>1</v>
      </c>
      <c r="O218">
        <v>30000</v>
      </c>
      <c r="P218">
        <v>5</v>
      </c>
      <c r="Q218">
        <v>28500</v>
      </c>
      <c r="R218">
        <v>22000</v>
      </c>
      <c r="S218">
        <v>9182.8700000000008</v>
      </c>
      <c r="T218" t="s">
        <v>42</v>
      </c>
      <c r="U218">
        <v>5</v>
      </c>
      <c r="V218">
        <v>4</v>
      </c>
      <c r="W218" t="s">
        <v>43</v>
      </c>
      <c r="X218">
        <v>28500</v>
      </c>
      <c r="Y218">
        <v>2025</v>
      </c>
      <c r="Z218">
        <v>1</v>
      </c>
      <c r="AA218">
        <v>22</v>
      </c>
      <c r="AB218" t="s">
        <v>68</v>
      </c>
      <c r="AC218" t="s">
        <v>69</v>
      </c>
      <c r="AD218" t="s">
        <v>119</v>
      </c>
      <c r="AE218" t="s">
        <v>120</v>
      </c>
      <c r="AF218" t="s">
        <v>48</v>
      </c>
    </row>
    <row r="219" spans="1:32" x14ac:dyDescent="0.3">
      <c r="A219">
        <v>1219</v>
      </c>
      <c r="B219" s="2">
        <v>45680</v>
      </c>
      <c r="C219" t="s">
        <v>72</v>
      </c>
      <c r="D219" t="s">
        <v>33</v>
      </c>
      <c r="E219" t="s">
        <v>34</v>
      </c>
      <c r="F219" t="s">
        <v>360</v>
      </c>
      <c r="G219" t="s">
        <v>361</v>
      </c>
      <c r="H219" t="s">
        <v>54</v>
      </c>
      <c r="I219">
        <v>42</v>
      </c>
      <c r="J219" t="s">
        <v>90</v>
      </c>
      <c r="K219" t="s">
        <v>56</v>
      </c>
      <c r="L219" t="s">
        <v>124</v>
      </c>
      <c r="M219" t="s">
        <v>48</v>
      </c>
      <c r="N219">
        <v>3</v>
      </c>
      <c r="O219">
        <v>25000</v>
      </c>
      <c r="P219">
        <v>10</v>
      </c>
      <c r="Q219">
        <v>67500</v>
      </c>
      <c r="R219">
        <v>50000</v>
      </c>
      <c r="S219">
        <v>17500</v>
      </c>
      <c r="T219" t="s">
        <v>105</v>
      </c>
      <c r="U219">
        <v>4</v>
      </c>
      <c r="V219">
        <v>3</v>
      </c>
      <c r="W219" t="s">
        <v>43</v>
      </c>
      <c r="X219">
        <v>202500</v>
      </c>
      <c r="Y219">
        <v>2025</v>
      </c>
      <c r="Z219">
        <v>1</v>
      </c>
      <c r="AA219">
        <v>23</v>
      </c>
      <c r="AB219" t="s">
        <v>135</v>
      </c>
      <c r="AC219" t="s">
        <v>136</v>
      </c>
      <c r="AD219" t="s">
        <v>119</v>
      </c>
      <c r="AE219" t="s">
        <v>120</v>
      </c>
      <c r="AF219" t="s">
        <v>106</v>
      </c>
    </row>
    <row r="220" spans="1:32" x14ac:dyDescent="0.3">
      <c r="A220">
        <v>1220</v>
      </c>
      <c r="B220" s="2">
        <v>45681</v>
      </c>
      <c r="C220" t="s">
        <v>49</v>
      </c>
      <c r="D220" t="s">
        <v>334</v>
      </c>
      <c r="E220" t="s">
        <v>362</v>
      </c>
      <c r="F220" t="s">
        <v>363</v>
      </c>
      <c r="G220" t="s">
        <v>364</v>
      </c>
      <c r="H220" t="s">
        <v>37</v>
      </c>
      <c r="I220">
        <v>25</v>
      </c>
      <c r="J220" t="s">
        <v>38</v>
      </c>
      <c r="K220" t="s">
        <v>39</v>
      </c>
      <c r="L220" t="s">
        <v>104</v>
      </c>
      <c r="M220" t="s">
        <v>58</v>
      </c>
      <c r="N220">
        <v>4</v>
      </c>
      <c r="O220">
        <v>2000</v>
      </c>
      <c r="P220">
        <v>50</v>
      </c>
      <c r="Q220">
        <v>4000</v>
      </c>
      <c r="R220">
        <v>5000</v>
      </c>
      <c r="S220">
        <v>-1000</v>
      </c>
      <c r="T220" t="s">
        <v>84</v>
      </c>
      <c r="U220">
        <v>2</v>
      </c>
      <c r="V220">
        <v>4</v>
      </c>
      <c r="W220" t="s">
        <v>76</v>
      </c>
      <c r="X220">
        <v>16000</v>
      </c>
      <c r="Y220">
        <v>2025</v>
      </c>
      <c r="Z220">
        <v>1</v>
      </c>
      <c r="AA220">
        <v>24</v>
      </c>
      <c r="AB220" t="s">
        <v>115</v>
      </c>
      <c r="AC220" t="s">
        <v>116</v>
      </c>
      <c r="AD220" t="s">
        <v>119</v>
      </c>
      <c r="AE220" t="s">
        <v>120</v>
      </c>
      <c r="AF220" t="s">
        <v>87</v>
      </c>
    </row>
    <row r="221" spans="1:32" x14ac:dyDescent="0.3">
      <c r="A221">
        <v>1221</v>
      </c>
      <c r="B221" s="2">
        <v>45682</v>
      </c>
      <c r="C221" t="s">
        <v>107</v>
      </c>
      <c r="D221" t="s">
        <v>50</v>
      </c>
      <c r="E221" t="s">
        <v>51</v>
      </c>
      <c r="F221" t="s">
        <v>365</v>
      </c>
      <c r="G221" t="s">
        <v>366</v>
      </c>
      <c r="H221" t="s">
        <v>54</v>
      </c>
      <c r="I221">
        <v>34</v>
      </c>
      <c r="J221" t="s">
        <v>65</v>
      </c>
      <c r="K221" t="s">
        <v>56</v>
      </c>
      <c r="L221" t="s">
        <v>75</v>
      </c>
      <c r="M221" t="s">
        <v>48</v>
      </c>
      <c r="N221">
        <v>2</v>
      </c>
      <c r="O221">
        <v>55000</v>
      </c>
      <c r="P221">
        <v>5</v>
      </c>
      <c r="Q221">
        <v>104500</v>
      </c>
      <c r="R221">
        <v>85000</v>
      </c>
      <c r="S221">
        <v>19500</v>
      </c>
      <c r="T221" t="s">
        <v>42</v>
      </c>
      <c r="U221">
        <v>5</v>
      </c>
      <c r="V221">
        <v>2</v>
      </c>
      <c r="W221" t="s">
        <v>43</v>
      </c>
      <c r="X221">
        <v>209000</v>
      </c>
      <c r="Y221">
        <v>2025</v>
      </c>
      <c r="Z221">
        <v>1</v>
      </c>
      <c r="AA221">
        <v>25</v>
      </c>
      <c r="AB221" t="s">
        <v>77</v>
      </c>
      <c r="AC221" t="s">
        <v>78</v>
      </c>
      <c r="AD221" t="s">
        <v>119</v>
      </c>
      <c r="AE221" t="s">
        <v>120</v>
      </c>
      <c r="AF221" t="s">
        <v>48</v>
      </c>
    </row>
    <row r="222" spans="1:32" x14ac:dyDescent="0.3">
      <c r="A222">
        <v>1222</v>
      </c>
      <c r="B222" s="2">
        <v>45683</v>
      </c>
      <c r="C222" t="s">
        <v>107</v>
      </c>
      <c r="D222" t="s">
        <v>50</v>
      </c>
      <c r="E222" t="s">
        <v>129</v>
      </c>
      <c r="F222" t="s">
        <v>367</v>
      </c>
      <c r="G222" t="s">
        <v>368</v>
      </c>
      <c r="H222" t="s">
        <v>37</v>
      </c>
      <c r="I222">
        <v>29</v>
      </c>
      <c r="J222" t="s">
        <v>90</v>
      </c>
      <c r="K222" t="s">
        <v>56</v>
      </c>
      <c r="L222" t="s">
        <v>57</v>
      </c>
      <c r="M222" t="s">
        <v>58</v>
      </c>
      <c r="N222">
        <v>3</v>
      </c>
      <c r="O222">
        <v>25000</v>
      </c>
      <c r="P222">
        <v>10</v>
      </c>
      <c r="Q222">
        <v>67500</v>
      </c>
      <c r="R222">
        <v>50000</v>
      </c>
      <c r="S222">
        <v>17500</v>
      </c>
      <c r="T222" t="s">
        <v>67</v>
      </c>
      <c r="U222">
        <v>4</v>
      </c>
      <c r="V222">
        <v>3</v>
      </c>
      <c r="W222" t="s">
        <v>43</v>
      </c>
      <c r="X222">
        <v>202500</v>
      </c>
      <c r="Y222">
        <v>2025</v>
      </c>
      <c r="Z222">
        <v>1</v>
      </c>
      <c r="AA222">
        <v>26</v>
      </c>
      <c r="AB222" t="s">
        <v>44</v>
      </c>
      <c r="AC222" t="s">
        <v>45</v>
      </c>
      <c r="AD222" t="s">
        <v>119</v>
      </c>
      <c r="AE222" t="s">
        <v>120</v>
      </c>
      <c r="AF222" t="s">
        <v>48</v>
      </c>
    </row>
    <row r="223" spans="1:32" x14ac:dyDescent="0.3">
      <c r="A223">
        <v>1223</v>
      </c>
      <c r="B223" s="2">
        <v>45684</v>
      </c>
      <c r="C223" t="s">
        <v>107</v>
      </c>
      <c r="D223" t="s">
        <v>50</v>
      </c>
      <c r="E223" t="s">
        <v>129</v>
      </c>
      <c r="F223" t="s">
        <v>369</v>
      </c>
      <c r="G223" t="s">
        <v>370</v>
      </c>
      <c r="H223" t="s">
        <v>54</v>
      </c>
      <c r="I223">
        <v>39</v>
      </c>
      <c r="J223" t="s">
        <v>134</v>
      </c>
      <c r="K223" t="s">
        <v>56</v>
      </c>
      <c r="L223" t="s">
        <v>124</v>
      </c>
      <c r="M223" t="s">
        <v>41</v>
      </c>
      <c r="N223">
        <v>1</v>
      </c>
      <c r="O223">
        <v>30000</v>
      </c>
      <c r="P223">
        <v>5</v>
      </c>
      <c r="Q223">
        <v>28500</v>
      </c>
      <c r="R223">
        <v>22000</v>
      </c>
      <c r="S223">
        <v>6500</v>
      </c>
      <c r="T223" t="s">
        <v>84</v>
      </c>
      <c r="U223">
        <v>5</v>
      </c>
      <c r="V223">
        <v>4</v>
      </c>
      <c r="W223" t="s">
        <v>43</v>
      </c>
      <c r="X223">
        <v>28500</v>
      </c>
      <c r="Y223">
        <v>2025</v>
      </c>
      <c r="Z223">
        <v>1</v>
      </c>
      <c r="AA223">
        <v>27</v>
      </c>
      <c r="AB223" t="s">
        <v>110</v>
      </c>
      <c r="AC223" t="s">
        <v>111</v>
      </c>
      <c r="AD223" t="s">
        <v>119</v>
      </c>
      <c r="AE223" t="s">
        <v>120</v>
      </c>
      <c r="AF223" t="s">
        <v>87</v>
      </c>
    </row>
    <row r="224" spans="1:32" x14ac:dyDescent="0.3">
      <c r="A224">
        <v>1224</v>
      </c>
      <c r="B224" s="2">
        <v>45685</v>
      </c>
      <c r="C224" t="s">
        <v>107</v>
      </c>
      <c r="D224" t="s">
        <v>50</v>
      </c>
      <c r="E224" t="s">
        <v>51</v>
      </c>
      <c r="F224" t="s">
        <v>371</v>
      </c>
      <c r="G224" t="s">
        <v>372</v>
      </c>
      <c r="H224" t="s">
        <v>37</v>
      </c>
      <c r="I224">
        <v>27</v>
      </c>
      <c r="J224" t="s">
        <v>65</v>
      </c>
      <c r="K224" t="s">
        <v>56</v>
      </c>
      <c r="L224" t="s">
        <v>104</v>
      </c>
      <c r="M224" t="s">
        <v>48</v>
      </c>
      <c r="N224">
        <v>2</v>
      </c>
      <c r="O224">
        <v>55000</v>
      </c>
      <c r="P224">
        <v>8</v>
      </c>
      <c r="Q224">
        <v>104500</v>
      </c>
      <c r="R224">
        <v>85000</v>
      </c>
      <c r="S224">
        <v>19500</v>
      </c>
      <c r="T224" t="s">
        <v>105</v>
      </c>
      <c r="U224">
        <v>4</v>
      </c>
      <c r="V224">
        <v>2</v>
      </c>
      <c r="W224" t="s">
        <v>43</v>
      </c>
      <c r="X224">
        <v>209000</v>
      </c>
      <c r="Y224">
        <v>2025</v>
      </c>
      <c r="Z224">
        <v>1</v>
      </c>
      <c r="AA224">
        <v>28</v>
      </c>
      <c r="AB224" t="s">
        <v>59</v>
      </c>
      <c r="AC224" t="s">
        <v>60</v>
      </c>
      <c r="AD224" t="s">
        <v>119</v>
      </c>
      <c r="AE224" t="s">
        <v>120</v>
      </c>
      <c r="AF224" t="s">
        <v>106</v>
      </c>
    </row>
    <row r="225" spans="1:32" x14ac:dyDescent="0.3">
      <c r="A225">
        <v>1225</v>
      </c>
      <c r="B225" s="2">
        <v>45686</v>
      </c>
      <c r="C225" t="s">
        <v>49</v>
      </c>
      <c r="D225" t="s">
        <v>81</v>
      </c>
      <c r="E225" t="s">
        <v>82</v>
      </c>
      <c r="F225" t="s">
        <v>373</v>
      </c>
      <c r="G225" t="s">
        <v>374</v>
      </c>
      <c r="H225" t="s">
        <v>54</v>
      </c>
      <c r="I225">
        <v>41</v>
      </c>
      <c r="J225" t="s">
        <v>55</v>
      </c>
      <c r="K225" t="s">
        <v>56</v>
      </c>
      <c r="L225" t="s">
        <v>140</v>
      </c>
      <c r="M225" t="s">
        <v>58</v>
      </c>
      <c r="N225">
        <v>1</v>
      </c>
      <c r="O225">
        <v>15000</v>
      </c>
      <c r="P225">
        <v>5</v>
      </c>
      <c r="Q225">
        <v>14250</v>
      </c>
      <c r="R225">
        <v>11000</v>
      </c>
      <c r="S225">
        <v>3250</v>
      </c>
      <c r="T225" t="s">
        <v>42</v>
      </c>
      <c r="U225">
        <v>4</v>
      </c>
      <c r="V225">
        <v>3</v>
      </c>
      <c r="W225" t="s">
        <v>43</v>
      </c>
      <c r="X225">
        <v>14250</v>
      </c>
      <c r="Y225">
        <v>2025</v>
      </c>
      <c r="Z225">
        <v>1</v>
      </c>
      <c r="AA225">
        <v>29</v>
      </c>
      <c r="AB225" t="s">
        <v>68</v>
      </c>
      <c r="AC225" t="s">
        <v>69</v>
      </c>
      <c r="AD225" t="s">
        <v>119</v>
      </c>
      <c r="AE225" t="s">
        <v>120</v>
      </c>
      <c r="AF225" t="s">
        <v>48</v>
      </c>
    </row>
    <row r="226" spans="1:32" x14ac:dyDescent="0.3">
      <c r="A226">
        <v>1226</v>
      </c>
      <c r="B226" s="2">
        <v>45687</v>
      </c>
      <c r="C226" t="s">
        <v>49</v>
      </c>
      <c r="D226" t="s">
        <v>81</v>
      </c>
      <c r="E226" t="s">
        <v>82</v>
      </c>
      <c r="F226" t="s">
        <v>375</v>
      </c>
      <c r="G226" t="s">
        <v>376</v>
      </c>
      <c r="H226" t="s">
        <v>37</v>
      </c>
      <c r="I226">
        <v>32</v>
      </c>
      <c r="J226" t="s">
        <v>90</v>
      </c>
      <c r="K226" t="s">
        <v>56</v>
      </c>
      <c r="L226" t="s">
        <v>66</v>
      </c>
      <c r="M226" t="s">
        <v>48</v>
      </c>
      <c r="N226">
        <v>2</v>
      </c>
      <c r="O226">
        <v>25000</v>
      </c>
      <c r="P226">
        <v>10</v>
      </c>
      <c r="Q226">
        <v>45000</v>
      </c>
      <c r="R226">
        <v>36000</v>
      </c>
      <c r="S226">
        <v>9000</v>
      </c>
      <c r="T226" t="s">
        <v>84</v>
      </c>
      <c r="U226">
        <v>3</v>
      </c>
      <c r="V226">
        <v>5</v>
      </c>
      <c r="W226" t="s">
        <v>43</v>
      </c>
      <c r="X226">
        <v>90000</v>
      </c>
      <c r="Y226">
        <v>2025</v>
      </c>
      <c r="Z226">
        <v>1</v>
      </c>
      <c r="AA226">
        <v>30</v>
      </c>
      <c r="AB226" t="s">
        <v>135</v>
      </c>
      <c r="AC226" t="s">
        <v>136</v>
      </c>
      <c r="AD226" t="s">
        <v>119</v>
      </c>
      <c r="AE226" t="s">
        <v>120</v>
      </c>
      <c r="AF226" t="s">
        <v>87</v>
      </c>
    </row>
    <row r="227" spans="1:32" x14ac:dyDescent="0.3">
      <c r="A227">
        <v>1227</v>
      </c>
      <c r="B227" s="2">
        <v>45688</v>
      </c>
      <c r="C227" t="s">
        <v>49</v>
      </c>
      <c r="D227" t="s">
        <v>81</v>
      </c>
      <c r="E227" t="s">
        <v>145</v>
      </c>
      <c r="F227" t="s">
        <v>377</v>
      </c>
      <c r="G227" t="s">
        <v>378</v>
      </c>
      <c r="H227" t="s">
        <v>54</v>
      </c>
      <c r="I227">
        <v>39</v>
      </c>
      <c r="J227" t="s">
        <v>98</v>
      </c>
      <c r="K227" t="s">
        <v>56</v>
      </c>
      <c r="L227" t="s">
        <v>40</v>
      </c>
      <c r="M227" t="s">
        <v>58</v>
      </c>
      <c r="N227">
        <v>1</v>
      </c>
      <c r="O227">
        <v>10000</v>
      </c>
      <c r="P227">
        <v>5</v>
      </c>
      <c r="Q227">
        <v>9500</v>
      </c>
      <c r="R227">
        <v>7500</v>
      </c>
      <c r="S227">
        <v>2000</v>
      </c>
      <c r="T227" t="s">
        <v>105</v>
      </c>
      <c r="U227">
        <v>2</v>
      </c>
      <c r="V227">
        <v>6</v>
      </c>
      <c r="W227" t="s">
        <v>43</v>
      </c>
      <c r="X227">
        <v>9500</v>
      </c>
      <c r="Y227">
        <v>2025</v>
      </c>
      <c r="Z227">
        <v>1</v>
      </c>
      <c r="AA227">
        <v>31</v>
      </c>
      <c r="AB227" t="s">
        <v>115</v>
      </c>
      <c r="AC227" t="s">
        <v>116</v>
      </c>
      <c r="AD227" t="s">
        <v>119</v>
      </c>
      <c r="AE227" t="s">
        <v>120</v>
      </c>
      <c r="AF227" t="s">
        <v>106</v>
      </c>
    </row>
    <row r="228" spans="1:32" x14ac:dyDescent="0.3">
      <c r="A228">
        <v>1228</v>
      </c>
      <c r="B228" s="2">
        <v>45689</v>
      </c>
      <c r="C228" t="s">
        <v>107</v>
      </c>
      <c r="D228" t="s">
        <v>101</v>
      </c>
      <c r="E228" t="s">
        <v>51</v>
      </c>
      <c r="F228" t="s">
        <v>379</v>
      </c>
      <c r="G228" t="s">
        <v>154</v>
      </c>
      <c r="H228" t="s">
        <v>37</v>
      </c>
      <c r="I228">
        <v>39</v>
      </c>
      <c r="J228" t="s">
        <v>103</v>
      </c>
      <c r="K228" t="s">
        <v>39</v>
      </c>
      <c r="L228" t="s">
        <v>64</v>
      </c>
      <c r="M228" t="s">
        <v>41</v>
      </c>
      <c r="N228">
        <v>5</v>
      </c>
      <c r="O228">
        <v>1200</v>
      </c>
      <c r="P228">
        <v>0</v>
      </c>
      <c r="Q228">
        <v>6000</v>
      </c>
      <c r="R228">
        <v>3500</v>
      </c>
      <c r="S228">
        <v>2500</v>
      </c>
      <c r="T228" t="s">
        <v>42</v>
      </c>
      <c r="U228">
        <v>5</v>
      </c>
      <c r="V228">
        <v>2</v>
      </c>
      <c r="W228" t="s">
        <v>43</v>
      </c>
      <c r="X228">
        <v>30000</v>
      </c>
      <c r="Y228">
        <v>2025</v>
      </c>
      <c r="Z228">
        <v>2</v>
      </c>
      <c r="AA228">
        <v>1</v>
      </c>
      <c r="AB228" t="s">
        <v>77</v>
      </c>
      <c r="AC228" t="s">
        <v>78</v>
      </c>
      <c r="AD228" t="s">
        <v>79</v>
      </c>
      <c r="AE228" t="s">
        <v>80</v>
      </c>
      <c r="AF228" t="s">
        <v>48</v>
      </c>
    </row>
    <row r="229" spans="1:32" x14ac:dyDescent="0.3">
      <c r="A229">
        <v>1229</v>
      </c>
      <c r="B229" s="2">
        <v>45690</v>
      </c>
      <c r="C229" t="s">
        <v>107</v>
      </c>
      <c r="D229" t="s">
        <v>101</v>
      </c>
      <c r="E229" t="s">
        <v>127</v>
      </c>
      <c r="F229" t="s">
        <v>380</v>
      </c>
      <c r="G229" t="s">
        <v>66</v>
      </c>
      <c r="H229" t="s">
        <v>37</v>
      </c>
      <c r="I229">
        <v>28</v>
      </c>
      <c r="J229" t="s">
        <v>109</v>
      </c>
      <c r="K229" t="s">
        <v>39</v>
      </c>
      <c r="L229" t="s">
        <v>75</v>
      </c>
      <c r="M229" t="s">
        <v>48</v>
      </c>
      <c r="N229">
        <v>2</v>
      </c>
      <c r="O229">
        <v>800</v>
      </c>
      <c r="P229">
        <v>5</v>
      </c>
      <c r="Q229">
        <v>760</v>
      </c>
      <c r="R229">
        <v>400</v>
      </c>
      <c r="S229">
        <v>360</v>
      </c>
      <c r="T229" t="s">
        <v>84</v>
      </c>
      <c r="U229">
        <v>4</v>
      </c>
      <c r="V229">
        <v>4</v>
      </c>
      <c r="W229" t="s">
        <v>43</v>
      </c>
      <c r="X229">
        <v>1520</v>
      </c>
      <c r="Y229">
        <v>2025</v>
      </c>
      <c r="Z229">
        <v>2</v>
      </c>
      <c r="AA229">
        <v>2</v>
      </c>
      <c r="AB229" t="s">
        <v>44</v>
      </c>
      <c r="AC229" t="s">
        <v>45</v>
      </c>
      <c r="AD229" t="s">
        <v>79</v>
      </c>
      <c r="AE229" t="s">
        <v>80</v>
      </c>
      <c r="AF229" t="s">
        <v>87</v>
      </c>
    </row>
    <row r="230" spans="1:32" x14ac:dyDescent="0.3">
      <c r="A230">
        <v>1230</v>
      </c>
      <c r="B230" s="2">
        <v>45691</v>
      </c>
      <c r="C230" t="s">
        <v>107</v>
      </c>
      <c r="D230" t="s">
        <v>101</v>
      </c>
      <c r="E230" t="s">
        <v>127</v>
      </c>
      <c r="F230" t="s">
        <v>381</v>
      </c>
      <c r="G230" t="s">
        <v>382</v>
      </c>
      <c r="H230" t="s">
        <v>54</v>
      </c>
      <c r="I230">
        <v>35</v>
      </c>
      <c r="J230" t="s">
        <v>38</v>
      </c>
      <c r="K230" t="s">
        <v>39</v>
      </c>
      <c r="L230" t="s">
        <v>57</v>
      </c>
      <c r="M230" t="s">
        <v>58</v>
      </c>
      <c r="N230">
        <v>4</v>
      </c>
      <c r="O230">
        <v>2000</v>
      </c>
      <c r="P230">
        <v>0</v>
      </c>
      <c r="Q230">
        <v>8000</v>
      </c>
      <c r="R230">
        <v>5000</v>
      </c>
      <c r="S230">
        <v>3000</v>
      </c>
      <c r="T230" t="s">
        <v>105</v>
      </c>
      <c r="U230">
        <v>3</v>
      </c>
      <c r="V230">
        <v>3</v>
      </c>
      <c r="W230" t="s">
        <v>43</v>
      </c>
      <c r="X230">
        <v>32000</v>
      </c>
      <c r="Y230">
        <v>2025</v>
      </c>
      <c r="Z230">
        <v>2</v>
      </c>
      <c r="AA230">
        <v>3</v>
      </c>
      <c r="AB230" t="s">
        <v>110</v>
      </c>
      <c r="AC230" t="s">
        <v>111</v>
      </c>
      <c r="AD230" t="s">
        <v>79</v>
      </c>
      <c r="AE230" t="s">
        <v>80</v>
      </c>
      <c r="AF230" t="s">
        <v>106</v>
      </c>
    </row>
    <row r="231" spans="1:32" x14ac:dyDescent="0.3">
      <c r="A231">
        <v>1231</v>
      </c>
      <c r="B231" s="2">
        <v>45692</v>
      </c>
      <c r="C231" t="s">
        <v>32</v>
      </c>
      <c r="D231" t="s">
        <v>51</v>
      </c>
      <c r="E231" t="s">
        <v>51</v>
      </c>
      <c r="F231" t="s">
        <v>383</v>
      </c>
      <c r="G231" t="s">
        <v>384</v>
      </c>
      <c r="H231" t="s">
        <v>54</v>
      </c>
      <c r="I231">
        <v>38</v>
      </c>
      <c r="J231" t="s">
        <v>65</v>
      </c>
      <c r="K231" t="s">
        <v>56</v>
      </c>
      <c r="L231" t="s">
        <v>124</v>
      </c>
      <c r="M231" t="s">
        <v>48</v>
      </c>
      <c r="N231">
        <v>2</v>
      </c>
      <c r="O231">
        <v>55000</v>
      </c>
      <c r="P231">
        <v>5</v>
      </c>
      <c r="Q231">
        <v>104500</v>
      </c>
      <c r="R231">
        <v>85000</v>
      </c>
      <c r="S231">
        <v>19500</v>
      </c>
      <c r="T231" t="s">
        <v>42</v>
      </c>
      <c r="U231">
        <v>5</v>
      </c>
      <c r="V231">
        <v>2</v>
      </c>
      <c r="W231" t="s">
        <v>43</v>
      </c>
      <c r="X231">
        <v>209000</v>
      </c>
      <c r="Y231">
        <v>2025</v>
      </c>
      <c r="Z231">
        <v>2</v>
      </c>
      <c r="AA231">
        <v>4</v>
      </c>
      <c r="AB231" t="s">
        <v>59</v>
      </c>
      <c r="AC231" t="s">
        <v>60</v>
      </c>
      <c r="AD231" t="s">
        <v>79</v>
      </c>
      <c r="AE231" t="s">
        <v>80</v>
      </c>
      <c r="AF231" t="s">
        <v>48</v>
      </c>
    </row>
    <row r="232" spans="1:32" x14ac:dyDescent="0.3">
      <c r="A232">
        <v>1232</v>
      </c>
      <c r="B232" s="2">
        <v>45693</v>
      </c>
      <c r="C232" t="s">
        <v>32</v>
      </c>
      <c r="D232" t="s">
        <v>51</v>
      </c>
      <c r="E232" t="s">
        <v>51</v>
      </c>
      <c r="F232" t="s">
        <v>385</v>
      </c>
      <c r="G232" t="s">
        <v>36</v>
      </c>
      <c r="H232" t="s">
        <v>37</v>
      </c>
      <c r="I232">
        <v>31</v>
      </c>
      <c r="J232" t="s">
        <v>90</v>
      </c>
      <c r="K232" t="s">
        <v>56</v>
      </c>
      <c r="L232" t="s">
        <v>104</v>
      </c>
      <c r="M232" t="s">
        <v>58</v>
      </c>
      <c r="N232">
        <v>3</v>
      </c>
      <c r="O232">
        <v>25000</v>
      </c>
      <c r="P232">
        <v>10</v>
      </c>
      <c r="Q232">
        <v>67500</v>
      </c>
      <c r="R232">
        <v>50000</v>
      </c>
      <c r="S232">
        <v>17500</v>
      </c>
      <c r="T232" t="s">
        <v>67</v>
      </c>
      <c r="U232">
        <v>4</v>
      </c>
      <c r="V232">
        <v>3</v>
      </c>
      <c r="W232" t="s">
        <v>43</v>
      </c>
      <c r="X232">
        <v>202500</v>
      </c>
      <c r="Y232">
        <v>2025</v>
      </c>
      <c r="Z232">
        <v>2</v>
      </c>
      <c r="AA232">
        <v>5</v>
      </c>
      <c r="AB232" t="s">
        <v>68</v>
      </c>
      <c r="AC232" t="s">
        <v>69</v>
      </c>
      <c r="AD232" t="s">
        <v>79</v>
      </c>
      <c r="AE232" t="s">
        <v>80</v>
      </c>
      <c r="AF232" t="s">
        <v>48</v>
      </c>
    </row>
    <row r="233" spans="1:32" x14ac:dyDescent="0.3">
      <c r="A233">
        <v>1233</v>
      </c>
      <c r="B233" s="2">
        <v>45694</v>
      </c>
      <c r="C233" t="s">
        <v>32</v>
      </c>
      <c r="D233" t="s">
        <v>338</v>
      </c>
      <c r="E233" t="s">
        <v>339</v>
      </c>
      <c r="F233" t="s">
        <v>386</v>
      </c>
      <c r="G233" t="s">
        <v>387</v>
      </c>
      <c r="H233" t="s">
        <v>37</v>
      </c>
      <c r="I233">
        <v>29</v>
      </c>
      <c r="J233" t="s">
        <v>134</v>
      </c>
      <c r="K233" t="s">
        <v>56</v>
      </c>
      <c r="L233" t="s">
        <v>75</v>
      </c>
      <c r="M233" t="s">
        <v>41</v>
      </c>
      <c r="N233">
        <v>1</v>
      </c>
      <c r="O233">
        <v>18754.14</v>
      </c>
      <c r="P233">
        <v>5</v>
      </c>
      <c r="Q233">
        <v>28500</v>
      </c>
      <c r="R233">
        <v>22000</v>
      </c>
      <c r="S233">
        <v>6500</v>
      </c>
      <c r="T233" t="s">
        <v>105</v>
      </c>
      <c r="U233">
        <v>5</v>
      </c>
      <c r="V233">
        <v>4</v>
      </c>
      <c r="W233" t="s">
        <v>43</v>
      </c>
      <c r="X233">
        <v>28500</v>
      </c>
      <c r="Y233">
        <v>2025</v>
      </c>
      <c r="Z233">
        <v>2</v>
      </c>
      <c r="AA233">
        <v>6</v>
      </c>
      <c r="AB233" t="s">
        <v>135</v>
      </c>
      <c r="AC233" t="s">
        <v>136</v>
      </c>
      <c r="AD233" t="s">
        <v>79</v>
      </c>
      <c r="AE233" t="s">
        <v>80</v>
      </c>
      <c r="AF233" t="s">
        <v>106</v>
      </c>
    </row>
    <row r="234" spans="1:32" x14ac:dyDescent="0.3">
      <c r="A234">
        <v>1234</v>
      </c>
      <c r="B234" s="2">
        <v>45695</v>
      </c>
      <c r="C234" t="s">
        <v>32</v>
      </c>
      <c r="D234" t="s">
        <v>338</v>
      </c>
      <c r="E234" t="s">
        <v>339</v>
      </c>
      <c r="F234" t="s">
        <v>388</v>
      </c>
      <c r="G234" t="s">
        <v>123</v>
      </c>
      <c r="H234" t="s">
        <v>54</v>
      </c>
      <c r="I234">
        <v>40</v>
      </c>
      <c r="J234" t="s">
        <v>65</v>
      </c>
      <c r="K234" t="s">
        <v>56</v>
      </c>
      <c r="L234" t="s">
        <v>57</v>
      </c>
      <c r="M234" t="s">
        <v>48</v>
      </c>
      <c r="N234">
        <v>2</v>
      </c>
      <c r="O234">
        <v>55000</v>
      </c>
      <c r="P234">
        <v>5</v>
      </c>
      <c r="Q234">
        <v>104500</v>
      </c>
      <c r="R234">
        <v>38011.19</v>
      </c>
      <c r="S234">
        <v>19500</v>
      </c>
      <c r="T234" t="s">
        <v>42</v>
      </c>
      <c r="U234">
        <v>4</v>
      </c>
      <c r="V234">
        <v>2</v>
      </c>
      <c r="W234" t="s">
        <v>43</v>
      </c>
      <c r="X234">
        <v>209000</v>
      </c>
      <c r="Y234">
        <v>2025</v>
      </c>
      <c r="Z234">
        <v>2</v>
      </c>
      <c r="AA234">
        <v>7</v>
      </c>
      <c r="AB234" t="s">
        <v>115</v>
      </c>
      <c r="AC234" t="s">
        <v>116</v>
      </c>
      <c r="AD234" t="s">
        <v>79</v>
      </c>
      <c r="AE234" t="s">
        <v>80</v>
      </c>
      <c r="AF234" t="s">
        <v>48</v>
      </c>
    </row>
    <row r="235" spans="1:32" x14ac:dyDescent="0.3">
      <c r="A235">
        <v>1235</v>
      </c>
      <c r="B235" s="2">
        <v>45696</v>
      </c>
      <c r="C235" t="s">
        <v>72</v>
      </c>
      <c r="D235" t="s">
        <v>33</v>
      </c>
      <c r="E235" t="s">
        <v>34</v>
      </c>
      <c r="F235" t="s">
        <v>389</v>
      </c>
      <c r="G235" t="s">
        <v>390</v>
      </c>
      <c r="H235" t="s">
        <v>37</v>
      </c>
      <c r="I235">
        <v>27</v>
      </c>
      <c r="J235" t="s">
        <v>90</v>
      </c>
      <c r="K235" t="s">
        <v>56</v>
      </c>
      <c r="L235" t="s">
        <v>124</v>
      </c>
      <c r="M235" t="s">
        <v>58</v>
      </c>
      <c r="N235">
        <v>3</v>
      </c>
      <c r="O235">
        <v>25000</v>
      </c>
      <c r="P235">
        <v>10</v>
      </c>
      <c r="Q235">
        <v>47607.18</v>
      </c>
      <c r="R235">
        <v>50000</v>
      </c>
      <c r="S235">
        <v>17500</v>
      </c>
      <c r="T235" t="s">
        <v>84</v>
      </c>
      <c r="U235">
        <v>4</v>
      </c>
      <c r="V235">
        <v>3</v>
      </c>
      <c r="W235" t="s">
        <v>43</v>
      </c>
      <c r="X235">
        <v>142821.54</v>
      </c>
      <c r="Y235">
        <v>2025</v>
      </c>
      <c r="Z235">
        <v>2</v>
      </c>
      <c r="AA235">
        <v>8</v>
      </c>
      <c r="AB235" t="s">
        <v>77</v>
      </c>
      <c r="AC235" t="s">
        <v>78</v>
      </c>
      <c r="AD235" t="s">
        <v>79</v>
      </c>
      <c r="AE235" t="s">
        <v>80</v>
      </c>
      <c r="AF235" t="s">
        <v>87</v>
      </c>
    </row>
    <row r="236" spans="1:32" x14ac:dyDescent="0.3">
      <c r="A236">
        <v>1236</v>
      </c>
      <c r="B236" s="2">
        <v>45697</v>
      </c>
      <c r="C236" t="s">
        <v>72</v>
      </c>
      <c r="D236" t="s">
        <v>33</v>
      </c>
      <c r="E236" t="s">
        <v>34</v>
      </c>
      <c r="F236" t="s">
        <v>391</v>
      </c>
      <c r="G236" t="s">
        <v>94</v>
      </c>
      <c r="H236" t="s">
        <v>54</v>
      </c>
      <c r="I236">
        <v>44</v>
      </c>
      <c r="J236" t="s">
        <v>134</v>
      </c>
      <c r="K236" t="s">
        <v>56</v>
      </c>
      <c r="L236" t="s">
        <v>104</v>
      </c>
      <c r="M236" t="s">
        <v>48</v>
      </c>
      <c r="N236">
        <v>1</v>
      </c>
      <c r="O236">
        <v>30000</v>
      </c>
      <c r="P236">
        <v>5</v>
      </c>
      <c r="Q236">
        <v>28500</v>
      </c>
      <c r="R236">
        <v>22000</v>
      </c>
      <c r="S236">
        <v>9182.8700000000008</v>
      </c>
      <c r="T236" t="s">
        <v>105</v>
      </c>
      <c r="U236">
        <v>5</v>
      </c>
      <c r="V236">
        <v>4</v>
      </c>
      <c r="W236" t="s">
        <v>43</v>
      </c>
      <c r="X236">
        <v>28500</v>
      </c>
      <c r="Y236">
        <v>2025</v>
      </c>
      <c r="Z236">
        <v>2</v>
      </c>
      <c r="AA236">
        <v>9</v>
      </c>
      <c r="AB236" t="s">
        <v>44</v>
      </c>
      <c r="AC236" t="s">
        <v>45</v>
      </c>
      <c r="AD236" t="s">
        <v>79</v>
      </c>
      <c r="AE236" t="s">
        <v>80</v>
      </c>
      <c r="AF236" t="s">
        <v>106</v>
      </c>
    </row>
    <row r="237" spans="1:32" x14ac:dyDescent="0.3">
      <c r="A237">
        <v>1237</v>
      </c>
      <c r="B237" s="2">
        <v>45698</v>
      </c>
      <c r="C237" t="s">
        <v>72</v>
      </c>
      <c r="D237" t="s">
        <v>33</v>
      </c>
      <c r="E237" t="s">
        <v>34</v>
      </c>
      <c r="F237" t="s">
        <v>392</v>
      </c>
      <c r="G237" t="s">
        <v>393</v>
      </c>
      <c r="H237" t="s">
        <v>37</v>
      </c>
      <c r="I237">
        <v>30</v>
      </c>
      <c r="J237" t="s">
        <v>55</v>
      </c>
      <c r="K237" t="s">
        <v>56</v>
      </c>
      <c r="L237" t="s">
        <v>140</v>
      </c>
      <c r="M237" t="s">
        <v>58</v>
      </c>
      <c r="N237">
        <v>2</v>
      </c>
      <c r="O237">
        <v>15000</v>
      </c>
      <c r="P237">
        <v>5</v>
      </c>
      <c r="Q237">
        <v>28500</v>
      </c>
      <c r="R237">
        <v>22000</v>
      </c>
      <c r="S237">
        <v>6500</v>
      </c>
      <c r="T237" t="s">
        <v>42</v>
      </c>
      <c r="U237">
        <v>7</v>
      </c>
      <c r="V237">
        <v>2</v>
      </c>
      <c r="W237" t="s">
        <v>43</v>
      </c>
      <c r="X237">
        <v>57000</v>
      </c>
      <c r="Y237">
        <v>2025</v>
      </c>
      <c r="Z237">
        <v>2</v>
      </c>
      <c r="AA237">
        <v>10</v>
      </c>
      <c r="AB237" t="s">
        <v>110</v>
      </c>
      <c r="AC237" t="s">
        <v>111</v>
      </c>
      <c r="AD237" t="s">
        <v>79</v>
      </c>
      <c r="AE237" t="s">
        <v>80</v>
      </c>
      <c r="AF237" t="s">
        <v>48</v>
      </c>
    </row>
    <row r="238" spans="1:32" x14ac:dyDescent="0.3">
      <c r="A238">
        <v>1238</v>
      </c>
      <c r="B238" s="2">
        <v>45699</v>
      </c>
      <c r="C238" t="s">
        <v>72</v>
      </c>
      <c r="D238" t="s">
        <v>346</v>
      </c>
      <c r="E238" t="s">
        <v>347</v>
      </c>
      <c r="F238" t="s">
        <v>394</v>
      </c>
      <c r="G238" t="s">
        <v>395</v>
      </c>
      <c r="H238" t="s">
        <v>54</v>
      </c>
      <c r="I238">
        <v>36</v>
      </c>
      <c r="J238" t="s">
        <v>103</v>
      </c>
      <c r="K238" t="s">
        <v>39</v>
      </c>
      <c r="L238" t="s">
        <v>66</v>
      </c>
      <c r="M238" t="s">
        <v>41</v>
      </c>
      <c r="N238">
        <v>4</v>
      </c>
      <c r="O238">
        <v>1200</v>
      </c>
      <c r="P238">
        <v>0</v>
      </c>
      <c r="Q238">
        <v>4800</v>
      </c>
      <c r="R238">
        <v>2800</v>
      </c>
      <c r="S238">
        <v>2000</v>
      </c>
      <c r="T238" t="s">
        <v>84</v>
      </c>
      <c r="U238">
        <v>4</v>
      </c>
      <c r="V238">
        <v>3</v>
      </c>
      <c r="W238" t="s">
        <v>43</v>
      </c>
      <c r="X238">
        <v>19200</v>
      </c>
      <c r="Y238">
        <v>2025</v>
      </c>
      <c r="Z238">
        <v>2</v>
      </c>
      <c r="AA238">
        <v>11</v>
      </c>
      <c r="AB238" t="s">
        <v>59</v>
      </c>
      <c r="AC238" t="s">
        <v>60</v>
      </c>
      <c r="AD238" t="s">
        <v>79</v>
      </c>
      <c r="AE238" t="s">
        <v>80</v>
      </c>
      <c r="AF238" t="s">
        <v>87</v>
      </c>
    </row>
    <row r="239" spans="1:32" x14ac:dyDescent="0.3">
      <c r="A239">
        <v>1239</v>
      </c>
      <c r="B239" s="2">
        <v>45700</v>
      </c>
      <c r="C239" t="s">
        <v>72</v>
      </c>
      <c r="D239" t="s">
        <v>346</v>
      </c>
      <c r="E239" t="s">
        <v>347</v>
      </c>
      <c r="F239" t="s">
        <v>396</v>
      </c>
      <c r="G239" t="s">
        <v>397</v>
      </c>
      <c r="H239" t="s">
        <v>37</v>
      </c>
      <c r="I239">
        <v>33</v>
      </c>
      <c r="J239" t="s">
        <v>109</v>
      </c>
      <c r="K239" t="s">
        <v>39</v>
      </c>
      <c r="L239" t="s">
        <v>40</v>
      </c>
      <c r="M239" t="s">
        <v>58</v>
      </c>
      <c r="N239">
        <v>5</v>
      </c>
      <c r="O239">
        <v>800</v>
      </c>
      <c r="P239">
        <v>0</v>
      </c>
      <c r="Q239">
        <v>4000</v>
      </c>
      <c r="R239">
        <v>2000</v>
      </c>
      <c r="S239">
        <v>2000</v>
      </c>
      <c r="T239" t="s">
        <v>67</v>
      </c>
      <c r="U239">
        <v>5</v>
      </c>
      <c r="V239">
        <v>2</v>
      </c>
      <c r="W239" t="s">
        <v>43</v>
      </c>
      <c r="X239">
        <v>20000</v>
      </c>
      <c r="Y239">
        <v>2025</v>
      </c>
      <c r="Z239">
        <v>2</v>
      </c>
      <c r="AA239">
        <v>12</v>
      </c>
      <c r="AB239" t="s">
        <v>68</v>
      </c>
      <c r="AC239" t="s">
        <v>69</v>
      </c>
      <c r="AD239" t="s">
        <v>79</v>
      </c>
      <c r="AE239" t="s">
        <v>80</v>
      </c>
      <c r="AF239" t="s">
        <v>48</v>
      </c>
    </row>
    <row r="240" spans="1:32" x14ac:dyDescent="0.3">
      <c r="A240">
        <v>1240</v>
      </c>
      <c r="B240" s="2">
        <v>45701</v>
      </c>
      <c r="C240" t="s">
        <v>49</v>
      </c>
      <c r="D240" t="s">
        <v>334</v>
      </c>
      <c r="E240" t="s">
        <v>335</v>
      </c>
      <c r="F240" t="s">
        <v>398</v>
      </c>
      <c r="G240" t="s">
        <v>399</v>
      </c>
      <c r="H240" t="s">
        <v>54</v>
      </c>
      <c r="I240">
        <v>39</v>
      </c>
      <c r="J240" t="s">
        <v>98</v>
      </c>
      <c r="K240" t="s">
        <v>56</v>
      </c>
      <c r="L240" t="s">
        <v>64</v>
      </c>
      <c r="M240" t="s">
        <v>48</v>
      </c>
      <c r="N240">
        <v>2</v>
      </c>
      <c r="O240">
        <v>10000</v>
      </c>
      <c r="P240">
        <v>5</v>
      </c>
      <c r="Q240">
        <v>47607.18</v>
      </c>
      <c r="R240">
        <v>7500</v>
      </c>
      <c r="S240">
        <v>-17000</v>
      </c>
      <c r="T240" t="s">
        <v>42</v>
      </c>
      <c r="U240">
        <v>2</v>
      </c>
      <c r="V240">
        <v>8</v>
      </c>
      <c r="W240" t="s">
        <v>76</v>
      </c>
      <c r="X240">
        <v>95214.36</v>
      </c>
      <c r="Y240">
        <v>2025</v>
      </c>
      <c r="Z240">
        <v>2</v>
      </c>
      <c r="AA240">
        <v>13</v>
      </c>
      <c r="AB240" t="s">
        <v>135</v>
      </c>
      <c r="AC240" t="s">
        <v>136</v>
      </c>
      <c r="AD240" t="s">
        <v>79</v>
      </c>
      <c r="AE240" t="s">
        <v>80</v>
      </c>
      <c r="AF240" t="s">
        <v>48</v>
      </c>
    </row>
    <row r="241" spans="1:32" x14ac:dyDescent="0.3">
      <c r="A241">
        <v>1241</v>
      </c>
      <c r="B241" s="2">
        <v>45702</v>
      </c>
      <c r="C241" t="s">
        <v>49</v>
      </c>
      <c r="D241" t="s">
        <v>334</v>
      </c>
      <c r="E241" t="s">
        <v>335</v>
      </c>
      <c r="F241" t="s">
        <v>400</v>
      </c>
      <c r="G241" t="s">
        <v>40</v>
      </c>
      <c r="H241" t="s">
        <v>37</v>
      </c>
      <c r="I241">
        <v>25</v>
      </c>
      <c r="J241" t="s">
        <v>65</v>
      </c>
      <c r="K241" t="s">
        <v>56</v>
      </c>
      <c r="L241" t="s">
        <v>75</v>
      </c>
      <c r="M241" t="s">
        <v>58</v>
      </c>
      <c r="N241">
        <v>2</v>
      </c>
      <c r="O241">
        <v>55000</v>
      </c>
      <c r="P241">
        <v>95</v>
      </c>
      <c r="Q241">
        <v>5500</v>
      </c>
      <c r="R241">
        <v>85000</v>
      </c>
      <c r="S241">
        <v>-79500</v>
      </c>
      <c r="T241" t="s">
        <v>105</v>
      </c>
      <c r="U241">
        <v>4</v>
      </c>
      <c r="V241">
        <v>2</v>
      </c>
      <c r="W241" t="s">
        <v>43</v>
      </c>
      <c r="X241">
        <v>11000</v>
      </c>
      <c r="Y241">
        <v>2025</v>
      </c>
      <c r="Z241">
        <v>2</v>
      </c>
      <c r="AA241">
        <v>14</v>
      </c>
      <c r="AB241" t="s">
        <v>115</v>
      </c>
      <c r="AC241" t="s">
        <v>116</v>
      </c>
      <c r="AD241" t="s">
        <v>79</v>
      </c>
      <c r="AE241" t="s">
        <v>80</v>
      </c>
      <c r="AF241" t="s">
        <v>106</v>
      </c>
    </row>
    <row r="242" spans="1:32" x14ac:dyDescent="0.3">
      <c r="A242">
        <v>1242</v>
      </c>
      <c r="B242" s="2">
        <v>45703</v>
      </c>
      <c r="C242" t="s">
        <v>49</v>
      </c>
      <c r="D242" t="s">
        <v>334</v>
      </c>
      <c r="E242" t="s">
        <v>362</v>
      </c>
      <c r="F242" t="s">
        <v>401</v>
      </c>
      <c r="G242" t="s">
        <v>402</v>
      </c>
      <c r="H242" t="s">
        <v>54</v>
      </c>
      <c r="I242">
        <v>31</v>
      </c>
      <c r="J242" t="s">
        <v>90</v>
      </c>
      <c r="K242" t="s">
        <v>56</v>
      </c>
      <c r="L242" t="s">
        <v>57</v>
      </c>
      <c r="M242" t="s">
        <v>48</v>
      </c>
      <c r="N242">
        <v>3</v>
      </c>
      <c r="O242">
        <v>25000</v>
      </c>
      <c r="P242">
        <v>10</v>
      </c>
      <c r="Q242">
        <v>67500</v>
      </c>
      <c r="R242">
        <v>50000</v>
      </c>
      <c r="S242">
        <v>17500</v>
      </c>
      <c r="T242" t="s">
        <v>84</v>
      </c>
      <c r="U242">
        <v>5</v>
      </c>
      <c r="V242">
        <v>3</v>
      </c>
      <c r="W242" t="s">
        <v>43</v>
      </c>
      <c r="X242">
        <v>202500</v>
      </c>
      <c r="Y242">
        <v>2025</v>
      </c>
      <c r="Z242">
        <v>2</v>
      </c>
      <c r="AA242">
        <v>15</v>
      </c>
      <c r="AB242" t="s">
        <v>77</v>
      </c>
      <c r="AC242" t="s">
        <v>78</v>
      </c>
      <c r="AD242" t="s">
        <v>79</v>
      </c>
      <c r="AE242" t="s">
        <v>80</v>
      </c>
      <c r="AF242" t="s">
        <v>87</v>
      </c>
    </row>
    <row r="243" spans="1:32" x14ac:dyDescent="0.3">
      <c r="A243">
        <v>1243</v>
      </c>
      <c r="B243" s="2">
        <v>45704</v>
      </c>
      <c r="C243" t="s">
        <v>107</v>
      </c>
      <c r="D243" t="s">
        <v>356</v>
      </c>
      <c r="E243" t="s">
        <v>357</v>
      </c>
      <c r="F243" t="s">
        <v>403</v>
      </c>
      <c r="G243" t="s">
        <v>359</v>
      </c>
      <c r="H243" t="s">
        <v>37</v>
      </c>
      <c r="I243">
        <v>35</v>
      </c>
      <c r="J243" t="s">
        <v>134</v>
      </c>
      <c r="K243" t="s">
        <v>56</v>
      </c>
      <c r="L243" t="s">
        <v>124</v>
      </c>
      <c r="M243" t="s">
        <v>41</v>
      </c>
      <c r="N243">
        <v>1</v>
      </c>
      <c r="O243">
        <v>30000</v>
      </c>
      <c r="P243">
        <v>5</v>
      </c>
      <c r="Q243">
        <v>28500</v>
      </c>
      <c r="R243">
        <v>22000</v>
      </c>
      <c r="S243">
        <v>6500</v>
      </c>
      <c r="T243" t="s">
        <v>42</v>
      </c>
      <c r="U243">
        <v>5</v>
      </c>
      <c r="V243">
        <v>4</v>
      </c>
      <c r="W243" t="s">
        <v>43</v>
      </c>
      <c r="X243">
        <v>28500</v>
      </c>
      <c r="Y243">
        <v>2025</v>
      </c>
      <c r="Z243">
        <v>2</v>
      </c>
      <c r="AA243">
        <v>16</v>
      </c>
      <c r="AB243" t="s">
        <v>44</v>
      </c>
      <c r="AC243" t="s">
        <v>45</v>
      </c>
      <c r="AD243" t="s">
        <v>79</v>
      </c>
      <c r="AE243" t="s">
        <v>80</v>
      </c>
      <c r="AF243" t="s">
        <v>48</v>
      </c>
    </row>
    <row r="244" spans="1:32" x14ac:dyDescent="0.3">
      <c r="A244">
        <v>1244</v>
      </c>
      <c r="B244" s="2">
        <v>45705</v>
      </c>
      <c r="C244" t="s">
        <v>107</v>
      </c>
      <c r="D244" t="s">
        <v>356</v>
      </c>
      <c r="E244" t="s">
        <v>357</v>
      </c>
      <c r="F244" t="s">
        <v>404</v>
      </c>
      <c r="G244" t="s">
        <v>405</v>
      </c>
      <c r="H244" t="s">
        <v>54</v>
      </c>
      <c r="I244">
        <v>29</v>
      </c>
      <c r="J244" t="s">
        <v>65</v>
      </c>
      <c r="K244" t="s">
        <v>56</v>
      </c>
      <c r="L244" t="s">
        <v>104</v>
      </c>
      <c r="M244" t="s">
        <v>48</v>
      </c>
      <c r="N244">
        <v>2</v>
      </c>
      <c r="O244">
        <v>55000</v>
      </c>
      <c r="P244">
        <v>5</v>
      </c>
      <c r="Q244">
        <v>104500</v>
      </c>
      <c r="R244">
        <v>85000</v>
      </c>
      <c r="S244">
        <v>19500</v>
      </c>
      <c r="T244" t="s">
        <v>105</v>
      </c>
      <c r="U244">
        <v>4</v>
      </c>
      <c r="V244">
        <v>2</v>
      </c>
      <c r="W244" t="s">
        <v>43</v>
      </c>
      <c r="X244">
        <v>209000</v>
      </c>
      <c r="Y244">
        <v>2025</v>
      </c>
      <c r="Z244">
        <v>2</v>
      </c>
      <c r="AA244">
        <v>17</v>
      </c>
      <c r="AB244" t="s">
        <v>110</v>
      </c>
      <c r="AC244" t="s">
        <v>111</v>
      </c>
      <c r="AD244" t="s">
        <v>79</v>
      </c>
      <c r="AE244" t="s">
        <v>80</v>
      </c>
      <c r="AF244" t="s">
        <v>106</v>
      </c>
    </row>
    <row r="245" spans="1:32" x14ac:dyDescent="0.3">
      <c r="A245">
        <v>1245</v>
      </c>
      <c r="B245" s="2">
        <v>45706</v>
      </c>
      <c r="C245" t="s">
        <v>107</v>
      </c>
      <c r="D245" t="s">
        <v>356</v>
      </c>
      <c r="E245" t="s">
        <v>357</v>
      </c>
      <c r="F245" t="s">
        <v>406</v>
      </c>
      <c r="G245" t="s">
        <v>407</v>
      </c>
      <c r="H245" t="s">
        <v>37</v>
      </c>
      <c r="I245">
        <v>26</v>
      </c>
      <c r="J245" t="s">
        <v>38</v>
      </c>
      <c r="K245" t="s">
        <v>39</v>
      </c>
      <c r="L245" t="s">
        <v>140</v>
      </c>
      <c r="M245" t="s">
        <v>58</v>
      </c>
      <c r="N245">
        <v>4</v>
      </c>
      <c r="O245">
        <v>2000</v>
      </c>
      <c r="P245">
        <v>0</v>
      </c>
      <c r="Q245">
        <v>8000</v>
      </c>
      <c r="R245">
        <v>5000</v>
      </c>
      <c r="S245">
        <v>3000</v>
      </c>
      <c r="T245" t="s">
        <v>84</v>
      </c>
      <c r="U245">
        <v>3</v>
      </c>
      <c r="V245">
        <v>5</v>
      </c>
      <c r="W245" t="s">
        <v>43</v>
      </c>
      <c r="X245">
        <v>32000</v>
      </c>
      <c r="Y245">
        <v>2025</v>
      </c>
      <c r="Z245">
        <v>2</v>
      </c>
      <c r="AA245">
        <v>18</v>
      </c>
      <c r="AB245" t="s">
        <v>59</v>
      </c>
      <c r="AC245" t="s">
        <v>60</v>
      </c>
      <c r="AD245" t="s">
        <v>79</v>
      </c>
      <c r="AE245" t="s">
        <v>80</v>
      </c>
      <c r="AF245" t="s">
        <v>87</v>
      </c>
    </row>
    <row r="246" spans="1:32" x14ac:dyDescent="0.3">
      <c r="A246">
        <v>1246</v>
      </c>
      <c r="B246" s="2">
        <v>45707</v>
      </c>
      <c r="C246" t="s">
        <v>32</v>
      </c>
      <c r="D246" t="s">
        <v>408</v>
      </c>
      <c r="E246" t="s">
        <v>409</v>
      </c>
      <c r="F246" t="s">
        <v>410</v>
      </c>
      <c r="G246" t="s">
        <v>411</v>
      </c>
      <c r="H246" t="s">
        <v>54</v>
      </c>
      <c r="I246">
        <v>42</v>
      </c>
      <c r="J246" t="s">
        <v>55</v>
      </c>
      <c r="K246" t="s">
        <v>56</v>
      </c>
      <c r="L246" t="s">
        <v>66</v>
      </c>
      <c r="M246" t="s">
        <v>48</v>
      </c>
      <c r="N246">
        <v>1</v>
      </c>
      <c r="O246">
        <v>15000</v>
      </c>
      <c r="P246">
        <v>5</v>
      </c>
      <c r="Q246">
        <v>14250</v>
      </c>
      <c r="R246">
        <v>11000</v>
      </c>
      <c r="S246">
        <v>3250</v>
      </c>
      <c r="T246" t="s">
        <v>42</v>
      </c>
      <c r="U246">
        <v>4</v>
      </c>
      <c r="V246">
        <v>3</v>
      </c>
      <c r="W246" t="s">
        <v>43</v>
      </c>
      <c r="X246">
        <v>14250</v>
      </c>
      <c r="Y246">
        <v>2025</v>
      </c>
      <c r="Z246">
        <v>2</v>
      </c>
      <c r="AA246">
        <v>19</v>
      </c>
      <c r="AB246" t="s">
        <v>68</v>
      </c>
      <c r="AC246" t="s">
        <v>69</v>
      </c>
      <c r="AD246" t="s">
        <v>79</v>
      </c>
      <c r="AE246" t="s">
        <v>80</v>
      </c>
      <c r="AF246" t="s">
        <v>48</v>
      </c>
    </row>
    <row r="247" spans="1:32" x14ac:dyDescent="0.3">
      <c r="A247">
        <v>1247</v>
      </c>
      <c r="B247" s="2">
        <v>45708</v>
      </c>
      <c r="C247" t="s">
        <v>32</v>
      </c>
      <c r="D247" t="s">
        <v>408</v>
      </c>
      <c r="E247" t="s">
        <v>409</v>
      </c>
      <c r="F247" t="s">
        <v>412</v>
      </c>
      <c r="G247" t="s">
        <v>413</v>
      </c>
      <c r="H247" t="s">
        <v>37</v>
      </c>
      <c r="I247">
        <v>39</v>
      </c>
      <c r="J247" t="s">
        <v>103</v>
      </c>
      <c r="K247" t="s">
        <v>39</v>
      </c>
      <c r="L247" t="s">
        <v>40</v>
      </c>
      <c r="M247" t="s">
        <v>58</v>
      </c>
      <c r="N247">
        <v>3</v>
      </c>
      <c r="O247">
        <v>1200</v>
      </c>
      <c r="P247">
        <v>0</v>
      </c>
      <c r="Q247">
        <v>3600</v>
      </c>
      <c r="R247">
        <v>2100</v>
      </c>
      <c r="S247">
        <v>1500</v>
      </c>
      <c r="T247" t="s">
        <v>84</v>
      </c>
      <c r="U247">
        <v>5</v>
      </c>
      <c r="V247">
        <v>2</v>
      </c>
      <c r="W247" t="s">
        <v>43</v>
      </c>
      <c r="X247">
        <v>10800</v>
      </c>
      <c r="Y247">
        <v>2025</v>
      </c>
      <c r="Z247">
        <v>2</v>
      </c>
      <c r="AA247">
        <v>20</v>
      </c>
      <c r="AB247" t="s">
        <v>135</v>
      </c>
      <c r="AC247" t="s">
        <v>136</v>
      </c>
      <c r="AD247" t="s">
        <v>79</v>
      </c>
      <c r="AE247" t="s">
        <v>80</v>
      </c>
      <c r="AF247" t="s">
        <v>87</v>
      </c>
    </row>
    <row r="248" spans="1:32" x14ac:dyDescent="0.3">
      <c r="A248">
        <v>1248</v>
      </c>
      <c r="B248" s="2">
        <v>45709</v>
      </c>
      <c r="C248" t="s">
        <v>32</v>
      </c>
      <c r="D248" t="s">
        <v>408</v>
      </c>
      <c r="E248" t="s">
        <v>409</v>
      </c>
      <c r="F248" t="s">
        <v>414</v>
      </c>
      <c r="G248" t="s">
        <v>341</v>
      </c>
      <c r="H248" t="s">
        <v>54</v>
      </c>
      <c r="I248">
        <v>37</v>
      </c>
      <c r="J248" t="s">
        <v>109</v>
      </c>
      <c r="K248" t="s">
        <v>39</v>
      </c>
      <c r="L248" t="s">
        <v>64</v>
      </c>
      <c r="M248" t="s">
        <v>41</v>
      </c>
      <c r="N248">
        <v>5</v>
      </c>
      <c r="O248">
        <v>800</v>
      </c>
      <c r="P248">
        <v>0</v>
      </c>
      <c r="Q248">
        <v>4000</v>
      </c>
      <c r="R248">
        <v>2000</v>
      </c>
      <c r="S248">
        <v>2000</v>
      </c>
      <c r="T248" t="s">
        <v>105</v>
      </c>
      <c r="U248">
        <v>4</v>
      </c>
      <c r="V248">
        <v>2</v>
      </c>
      <c r="W248" t="s">
        <v>43</v>
      </c>
      <c r="X248">
        <v>20000</v>
      </c>
      <c r="Y248">
        <v>2025</v>
      </c>
      <c r="Z248">
        <v>2</v>
      </c>
      <c r="AA248">
        <v>21</v>
      </c>
      <c r="AB248" t="s">
        <v>115</v>
      </c>
      <c r="AC248" t="s">
        <v>116</v>
      </c>
      <c r="AD248" t="s">
        <v>79</v>
      </c>
      <c r="AE248" t="s">
        <v>80</v>
      </c>
      <c r="AF248" t="s">
        <v>106</v>
      </c>
    </row>
    <row r="249" spans="1:32" x14ac:dyDescent="0.3">
      <c r="A249">
        <v>1249</v>
      </c>
      <c r="B249" s="2">
        <v>45710</v>
      </c>
      <c r="C249" t="s">
        <v>49</v>
      </c>
      <c r="D249" t="s">
        <v>350</v>
      </c>
      <c r="E249" t="s">
        <v>351</v>
      </c>
      <c r="F249" t="s">
        <v>415</v>
      </c>
      <c r="G249" t="s">
        <v>416</v>
      </c>
      <c r="H249" t="s">
        <v>37</v>
      </c>
      <c r="I249">
        <v>31</v>
      </c>
      <c r="J249" t="s">
        <v>98</v>
      </c>
      <c r="K249" t="s">
        <v>56</v>
      </c>
      <c r="L249" t="s">
        <v>75</v>
      </c>
      <c r="M249" t="s">
        <v>48</v>
      </c>
      <c r="N249">
        <v>2</v>
      </c>
      <c r="O249">
        <v>10000</v>
      </c>
      <c r="P249">
        <v>5</v>
      </c>
      <c r="Q249">
        <v>19000</v>
      </c>
      <c r="R249">
        <v>15000</v>
      </c>
      <c r="S249">
        <v>4000</v>
      </c>
      <c r="T249" t="s">
        <v>42</v>
      </c>
      <c r="U249">
        <v>4</v>
      </c>
      <c r="V249">
        <v>4</v>
      </c>
      <c r="W249" t="s">
        <v>43</v>
      </c>
      <c r="X249">
        <v>38000</v>
      </c>
      <c r="Y249">
        <v>2025</v>
      </c>
      <c r="Z249">
        <v>2</v>
      </c>
      <c r="AA249">
        <v>22</v>
      </c>
      <c r="AB249" t="s">
        <v>77</v>
      </c>
      <c r="AC249" t="s">
        <v>78</v>
      </c>
      <c r="AD249" t="s">
        <v>79</v>
      </c>
      <c r="AE249" t="s">
        <v>80</v>
      </c>
      <c r="AF249" t="s">
        <v>48</v>
      </c>
    </row>
    <row r="250" spans="1:32" x14ac:dyDescent="0.3">
      <c r="A250">
        <v>1250</v>
      </c>
      <c r="B250" s="2">
        <v>45711</v>
      </c>
      <c r="C250" t="s">
        <v>49</v>
      </c>
      <c r="D250" t="s">
        <v>350</v>
      </c>
      <c r="E250" t="s">
        <v>351</v>
      </c>
      <c r="F250" t="s">
        <v>417</v>
      </c>
      <c r="G250" t="s">
        <v>418</v>
      </c>
      <c r="H250" t="s">
        <v>54</v>
      </c>
      <c r="I250">
        <v>33</v>
      </c>
      <c r="J250" t="s">
        <v>65</v>
      </c>
      <c r="K250" t="s">
        <v>56</v>
      </c>
      <c r="L250" t="s">
        <v>57</v>
      </c>
      <c r="M250" t="s">
        <v>58</v>
      </c>
      <c r="N250">
        <v>2</v>
      </c>
      <c r="O250">
        <v>55000</v>
      </c>
      <c r="P250">
        <v>5</v>
      </c>
      <c r="Q250">
        <v>104500</v>
      </c>
      <c r="R250">
        <v>85000</v>
      </c>
      <c r="S250">
        <v>19500</v>
      </c>
      <c r="T250" t="s">
        <v>84</v>
      </c>
      <c r="U250">
        <v>5</v>
      </c>
      <c r="V250">
        <v>2</v>
      </c>
      <c r="W250" t="s">
        <v>43</v>
      </c>
      <c r="X250">
        <v>209000</v>
      </c>
      <c r="Y250">
        <v>2025</v>
      </c>
      <c r="Z250">
        <v>2</v>
      </c>
      <c r="AA250">
        <v>23</v>
      </c>
      <c r="AB250" t="s">
        <v>44</v>
      </c>
      <c r="AC250" t="s">
        <v>45</v>
      </c>
      <c r="AD250" t="s">
        <v>79</v>
      </c>
      <c r="AE250" t="s">
        <v>80</v>
      </c>
      <c r="AF250" t="s">
        <v>87</v>
      </c>
    </row>
    <row r="251" spans="1:32" x14ac:dyDescent="0.3">
      <c r="A251">
        <v>1251</v>
      </c>
      <c r="B251" s="2">
        <v>45712</v>
      </c>
      <c r="C251" t="s">
        <v>107</v>
      </c>
      <c r="D251" t="s">
        <v>342</v>
      </c>
      <c r="E251" t="s">
        <v>343</v>
      </c>
      <c r="F251" t="s">
        <v>419</v>
      </c>
      <c r="G251" t="s">
        <v>420</v>
      </c>
      <c r="H251" t="s">
        <v>54</v>
      </c>
      <c r="I251">
        <v>28</v>
      </c>
      <c r="J251" t="s">
        <v>90</v>
      </c>
      <c r="K251" t="s">
        <v>56</v>
      </c>
      <c r="L251" t="s">
        <v>124</v>
      </c>
      <c r="M251" t="s">
        <v>48</v>
      </c>
      <c r="N251">
        <v>3</v>
      </c>
      <c r="O251">
        <v>25000</v>
      </c>
      <c r="P251">
        <v>10</v>
      </c>
      <c r="Q251">
        <v>67500</v>
      </c>
      <c r="R251">
        <v>50000</v>
      </c>
      <c r="S251">
        <v>17500</v>
      </c>
      <c r="T251" t="s">
        <v>105</v>
      </c>
      <c r="U251">
        <v>4</v>
      </c>
      <c r="V251">
        <v>3</v>
      </c>
      <c r="W251" t="s">
        <v>43</v>
      </c>
      <c r="X251">
        <v>202500</v>
      </c>
      <c r="Y251">
        <v>2025</v>
      </c>
      <c r="Z251">
        <v>2</v>
      </c>
      <c r="AA251">
        <v>24</v>
      </c>
      <c r="AB251" t="s">
        <v>110</v>
      </c>
      <c r="AC251" t="s">
        <v>111</v>
      </c>
      <c r="AD251" t="s">
        <v>79</v>
      </c>
      <c r="AE251" t="s">
        <v>80</v>
      </c>
      <c r="AF251" t="s">
        <v>106</v>
      </c>
    </row>
    <row r="252" spans="1:32" x14ac:dyDescent="0.3">
      <c r="A252">
        <v>1252</v>
      </c>
      <c r="B252" s="2">
        <v>45713</v>
      </c>
      <c r="C252" t="s">
        <v>107</v>
      </c>
      <c r="D252" t="s">
        <v>342</v>
      </c>
      <c r="E252" t="s">
        <v>343</v>
      </c>
      <c r="F252" t="s">
        <v>421</v>
      </c>
      <c r="G252" t="s">
        <v>422</v>
      </c>
      <c r="H252" t="s">
        <v>37</v>
      </c>
      <c r="I252">
        <v>27</v>
      </c>
      <c r="J252" t="s">
        <v>134</v>
      </c>
      <c r="K252" t="s">
        <v>56</v>
      </c>
      <c r="L252" t="s">
        <v>104</v>
      </c>
      <c r="M252" t="s">
        <v>58</v>
      </c>
      <c r="N252">
        <v>1</v>
      </c>
      <c r="O252">
        <v>30000</v>
      </c>
      <c r="P252">
        <v>5</v>
      </c>
      <c r="Q252">
        <v>28500</v>
      </c>
      <c r="R252">
        <v>22000</v>
      </c>
      <c r="S252">
        <v>6500</v>
      </c>
      <c r="T252" t="s">
        <v>42</v>
      </c>
      <c r="U252">
        <v>5</v>
      </c>
      <c r="V252">
        <v>3</v>
      </c>
      <c r="W252" t="s">
        <v>43</v>
      </c>
      <c r="X252">
        <v>28500</v>
      </c>
      <c r="Y252">
        <v>2025</v>
      </c>
      <c r="Z252">
        <v>2</v>
      </c>
      <c r="AA252">
        <v>25</v>
      </c>
      <c r="AB252" t="s">
        <v>59</v>
      </c>
      <c r="AC252" t="s">
        <v>60</v>
      </c>
      <c r="AD252" t="s">
        <v>79</v>
      </c>
      <c r="AE252" t="s">
        <v>80</v>
      </c>
      <c r="AF252" t="s">
        <v>48</v>
      </c>
    </row>
    <row r="253" spans="1:32" x14ac:dyDescent="0.3">
      <c r="A253">
        <v>1253</v>
      </c>
      <c r="B253" s="2">
        <v>45714</v>
      </c>
      <c r="C253" t="s">
        <v>107</v>
      </c>
      <c r="D253" t="s">
        <v>342</v>
      </c>
      <c r="E253" t="s">
        <v>343</v>
      </c>
      <c r="F253" t="s">
        <v>423</v>
      </c>
      <c r="G253" t="s">
        <v>424</v>
      </c>
      <c r="H253" t="s">
        <v>54</v>
      </c>
      <c r="I253">
        <v>40</v>
      </c>
      <c r="J253" t="s">
        <v>65</v>
      </c>
      <c r="K253" t="s">
        <v>56</v>
      </c>
      <c r="L253" t="s">
        <v>140</v>
      </c>
      <c r="M253" t="s">
        <v>41</v>
      </c>
      <c r="N253">
        <v>2</v>
      </c>
      <c r="O253">
        <v>55000</v>
      </c>
      <c r="P253">
        <v>5</v>
      </c>
      <c r="Q253">
        <v>104500</v>
      </c>
      <c r="R253">
        <v>85000</v>
      </c>
      <c r="S253">
        <v>19500</v>
      </c>
      <c r="T253" t="s">
        <v>67</v>
      </c>
      <c r="U253">
        <v>4</v>
      </c>
      <c r="V253">
        <v>2</v>
      </c>
      <c r="W253" t="s">
        <v>43</v>
      </c>
      <c r="X253">
        <v>209000</v>
      </c>
      <c r="Y253">
        <v>2025</v>
      </c>
      <c r="Z253">
        <v>2</v>
      </c>
      <c r="AA253">
        <v>26</v>
      </c>
      <c r="AB253" t="s">
        <v>68</v>
      </c>
      <c r="AC253" t="s">
        <v>69</v>
      </c>
      <c r="AD253" t="s">
        <v>79</v>
      </c>
      <c r="AE253" t="s">
        <v>80</v>
      </c>
      <c r="AF253" t="s">
        <v>48</v>
      </c>
    </row>
    <row r="254" spans="1:32" x14ac:dyDescent="0.3">
      <c r="A254">
        <v>1254</v>
      </c>
      <c r="B254" s="2">
        <v>45715</v>
      </c>
      <c r="C254" t="s">
        <v>72</v>
      </c>
      <c r="D254" t="s">
        <v>425</v>
      </c>
      <c r="E254" t="s">
        <v>426</v>
      </c>
      <c r="F254" t="s">
        <v>427</v>
      </c>
      <c r="G254" t="s">
        <v>428</v>
      </c>
      <c r="H254" t="s">
        <v>37</v>
      </c>
      <c r="I254">
        <v>34</v>
      </c>
      <c r="J254" t="s">
        <v>38</v>
      </c>
      <c r="K254" t="s">
        <v>39</v>
      </c>
      <c r="L254" t="s">
        <v>66</v>
      </c>
      <c r="M254" t="s">
        <v>58</v>
      </c>
      <c r="N254">
        <v>5</v>
      </c>
      <c r="O254">
        <v>2000</v>
      </c>
      <c r="P254">
        <v>0</v>
      </c>
      <c r="Q254">
        <v>10000</v>
      </c>
      <c r="R254">
        <v>6000</v>
      </c>
      <c r="S254">
        <v>4000</v>
      </c>
      <c r="T254" t="s">
        <v>84</v>
      </c>
      <c r="U254">
        <v>3</v>
      </c>
      <c r="V254">
        <v>5</v>
      </c>
      <c r="W254" t="s">
        <v>43</v>
      </c>
      <c r="X254">
        <v>50000</v>
      </c>
      <c r="Y254">
        <v>2025</v>
      </c>
      <c r="Z254">
        <v>2</v>
      </c>
      <c r="AA254">
        <v>27</v>
      </c>
      <c r="AB254" t="s">
        <v>135</v>
      </c>
      <c r="AC254" t="s">
        <v>136</v>
      </c>
      <c r="AD254" t="s">
        <v>79</v>
      </c>
      <c r="AE254" t="s">
        <v>80</v>
      </c>
      <c r="AF254" t="s">
        <v>87</v>
      </c>
    </row>
    <row r="255" spans="1:32" x14ac:dyDescent="0.3">
      <c r="A255">
        <v>1255</v>
      </c>
      <c r="B255" s="2">
        <v>45716</v>
      </c>
      <c r="C255" t="s">
        <v>72</v>
      </c>
      <c r="D255" t="s">
        <v>425</v>
      </c>
      <c r="E255" t="s">
        <v>426</v>
      </c>
      <c r="F255" t="s">
        <v>429</v>
      </c>
      <c r="G255" t="s">
        <v>124</v>
      </c>
      <c r="H255" t="s">
        <v>54</v>
      </c>
      <c r="I255">
        <v>41</v>
      </c>
      <c r="J255" t="s">
        <v>55</v>
      </c>
      <c r="K255" t="s">
        <v>56</v>
      </c>
      <c r="L255" t="s">
        <v>40</v>
      </c>
      <c r="M255" t="s">
        <v>48</v>
      </c>
      <c r="N255">
        <v>1</v>
      </c>
      <c r="O255">
        <v>15000</v>
      </c>
      <c r="P255">
        <v>5</v>
      </c>
      <c r="Q255">
        <v>14250</v>
      </c>
      <c r="R255">
        <v>11000</v>
      </c>
      <c r="S255">
        <v>3250</v>
      </c>
      <c r="T255" t="s">
        <v>42</v>
      </c>
      <c r="U255">
        <v>4</v>
      </c>
      <c r="V255">
        <v>3</v>
      </c>
      <c r="W255" t="s">
        <v>43</v>
      </c>
      <c r="X255">
        <v>14250</v>
      </c>
      <c r="Y255">
        <v>2025</v>
      </c>
      <c r="Z255">
        <v>2</v>
      </c>
      <c r="AA255">
        <v>28</v>
      </c>
      <c r="AB255" t="s">
        <v>115</v>
      </c>
      <c r="AC255" t="s">
        <v>116</v>
      </c>
      <c r="AD255" t="s">
        <v>79</v>
      </c>
      <c r="AE255" t="s">
        <v>80</v>
      </c>
      <c r="AF255" t="s">
        <v>48</v>
      </c>
    </row>
    <row r="256" spans="1:32" x14ac:dyDescent="0.3">
      <c r="A256">
        <v>1256</v>
      </c>
      <c r="B256" s="2">
        <v>45717</v>
      </c>
      <c r="C256" t="s">
        <v>72</v>
      </c>
      <c r="D256" t="s">
        <v>425</v>
      </c>
      <c r="E256" t="s">
        <v>51</v>
      </c>
      <c r="F256" t="s">
        <v>430</v>
      </c>
      <c r="G256" t="s">
        <v>124</v>
      </c>
      <c r="H256" t="s">
        <v>54</v>
      </c>
      <c r="I256">
        <v>41</v>
      </c>
      <c r="J256" t="s">
        <v>55</v>
      </c>
      <c r="K256" t="s">
        <v>56</v>
      </c>
      <c r="L256" t="s">
        <v>40</v>
      </c>
      <c r="M256" t="s">
        <v>48</v>
      </c>
      <c r="N256">
        <v>1</v>
      </c>
      <c r="O256">
        <v>15000</v>
      </c>
      <c r="P256">
        <v>5</v>
      </c>
      <c r="Q256">
        <v>14250</v>
      </c>
      <c r="R256">
        <v>11000</v>
      </c>
      <c r="S256">
        <v>3250</v>
      </c>
      <c r="T256" t="s">
        <v>42</v>
      </c>
      <c r="U256">
        <v>4</v>
      </c>
      <c r="V256">
        <v>3</v>
      </c>
      <c r="W256" t="s">
        <v>43</v>
      </c>
      <c r="X256">
        <v>14250</v>
      </c>
      <c r="Y256">
        <v>2025</v>
      </c>
      <c r="Z256">
        <v>3</v>
      </c>
      <c r="AA256">
        <v>1</v>
      </c>
      <c r="AB256" t="s">
        <v>77</v>
      </c>
      <c r="AC256" t="s">
        <v>78</v>
      </c>
      <c r="AD256" t="s">
        <v>99</v>
      </c>
      <c r="AE256" t="s">
        <v>100</v>
      </c>
      <c r="AF256" t="s">
        <v>48</v>
      </c>
    </row>
    <row r="257" spans="1:32" x14ac:dyDescent="0.3">
      <c r="A257">
        <v>1257</v>
      </c>
      <c r="B257" s="2">
        <v>45718</v>
      </c>
      <c r="C257" t="s">
        <v>107</v>
      </c>
      <c r="D257" t="s">
        <v>50</v>
      </c>
      <c r="E257" t="s">
        <v>129</v>
      </c>
      <c r="F257" t="s">
        <v>431</v>
      </c>
      <c r="G257" t="s">
        <v>432</v>
      </c>
      <c r="H257" t="s">
        <v>37</v>
      </c>
      <c r="I257">
        <v>29</v>
      </c>
      <c r="J257" t="s">
        <v>90</v>
      </c>
      <c r="K257" t="s">
        <v>56</v>
      </c>
      <c r="L257" t="s">
        <v>75</v>
      </c>
      <c r="M257" t="s">
        <v>58</v>
      </c>
      <c r="N257">
        <v>3</v>
      </c>
      <c r="O257">
        <v>25000</v>
      </c>
      <c r="P257">
        <v>10</v>
      </c>
      <c r="Q257">
        <v>67500</v>
      </c>
      <c r="R257">
        <v>50000</v>
      </c>
      <c r="S257">
        <v>17500</v>
      </c>
      <c r="T257" t="s">
        <v>84</v>
      </c>
      <c r="U257">
        <v>4</v>
      </c>
      <c r="V257">
        <v>3</v>
      </c>
      <c r="W257" t="s">
        <v>43</v>
      </c>
      <c r="X257">
        <v>202500</v>
      </c>
      <c r="Y257">
        <v>2025</v>
      </c>
      <c r="Z257">
        <v>3</v>
      </c>
      <c r="AA257">
        <v>2</v>
      </c>
      <c r="AB257" t="s">
        <v>44</v>
      </c>
      <c r="AC257" t="s">
        <v>45</v>
      </c>
      <c r="AD257" t="s">
        <v>99</v>
      </c>
      <c r="AE257" t="s">
        <v>100</v>
      </c>
      <c r="AF257" t="s">
        <v>87</v>
      </c>
    </row>
    <row r="258" spans="1:32" x14ac:dyDescent="0.3">
      <c r="A258">
        <v>1258</v>
      </c>
      <c r="B258" s="2">
        <v>45719</v>
      </c>
      <c r="C258" t="s">
        <v>107</v>
      </c>
      <c r="D258" t="s">
        <v>50</v>
      </c>
      <c r="E258" t="s">
        <v>51</v>
      </c>
      <c r="F258" t="s">
        <v>433</v>
      </c>
      <c r="G258" t="s">
        <v>432</v>
      </c>
      <c r="H258" t="s">
        <v>37</v>
      </c>
      <c r="I258">
        <v>29</v>
      </c>
      <c r="J258" t="s">
        <v>90</v>
      </c>
      <c r="K258" t="s">
        <v>56</v>
      </c>
      <c r="L258" t="s">
        <v>75</v>
      </c>
      <c r="M258" t="s">
        <v>58</v>
      </c>
      <c r="N258">
        <v>3</v>
      </c>
      <c r="O258">
        <v>25000</v>
      </c>
      <c r="P258">
        <v>10</v>
      </c>
      <c r="Q258">
        <v>67500</v>
      </c>
      <c r="R258">
        <v>50000</v>
      </c>
      <c r="S258">
        <v>17500</v>
      </c>
      <c r="T258" t="s">
        <v>84</v>
      </c>
      <c r="U258">
        <v>4</v>
      </c>
      <c r="V258">
        <v>3</v>
      </c>
      <c r="W258" t="s">
        <v>43</v>
      </c>
      <c r="X258">
        <v>202500</v>
      </c>
      <c r="Y258">
        <v>2025</v>
      </c>
      <c r="Z258">
        <v>3</v>
      </c>
      <c r="AA258">
        <v>3</v>
      </c>
      <c r="AB258" t="s">
        <v>110</v>
      </c>
      <c r="AC258" t="s">
        <v>111</v>
      </c>
      <c r="AD258" t="s">
        <v>99</v>
      </c>
      <c r="AE258" t="s">
        <v>100</v>
      </c>
      <c r="AF258" t="s">
        <v>87</v>
      </c>
    </row>
    <row r="259" spans="1:32" x14ac:dyDescent="0.3">
      <c r="A259">
        <v>1259</v>
      </c>
      <c r="B259" s="2">
        <v>45720</v>
      </c>
      <c r="C259" t="s">
        <v>107</v>
      </c>
      <c r="D259" t="s">
        <v>50</v>
      </c>
      <c r="E259" t="s">
        <v>129</v>
      </c>
      <c r="F259" t="s">
        <v>434</v>
      </c>
      <c r="G259" t="s">
        <v>432</v>
      </c>
      <c r="H259" t="s">
        <v>37</v>
      </c>
      <c r="I259">
        <v>29</v>
      </c>
      <c r="J259" t="s">
        <v>90</v>
      </c>
      <c r="K259" t="s">
        <v>56</v>
      </c>
      <c r="L259" t="s">
        <v>75</v>
      </c>
      <c r="M259" t="s">
        <v>58</v>
      </c>
      <c r="N259">
        <v>3</v>
      </c>
      <c r="O259">
        <v>25000</v>
      </c>
      <c r="P259">
        <v>10</v>
      </c>
      <c r="Q259">
        <v>67500</v>
      </c>
      <c r="R259">
        <v>50000</v>
      </c>
      <c r="S259">
        <v>17500</v>
      </c>
      <c r="T259" t="s">
        <v>84</v>
      </c>
      <c r="U259">
        <v>4</v>
      </c>
      <c r="V259">
        <v>3</v>
      </c>
      <c r="W259" t="s">
        <v>43</v>
      </c>
      <c r="X259">
        <v>202500</v>
      </c>
      <c r="Y259">
        <v>2025</v>
      </c>
      <c r="Z259">
        <v>3</v>
      </c>
      <c r="AA259">
        <v>4</v>
      </c>
      <c r="AB259" t="s">
        <v>59</v>
      </c>
      <c r="AC259" t="s">
        <v>60</v>
      </c>
      <c r="AD259" t="s">
        <v>99</v>
      </c>
      <c r="AE259" t="s">
        <v>100</v>
      </c>
      <c r="AF259" t="s">
        <v>87</v>
      </c>
    </row>
    <row r="260" spans="1:32" x14ac:dyDescent="0.3">
      <c r="A260">
        <v>1260</v>
      </c>
      <c r="B260" s="2">
        <v>45721</v>
      </c>
      <c r="C260" t="s">
        <v>107</v>
      </c>
      <c r="D260" t="s">
        <v>50</v>
      </c>
      <c r="E260" t="s">
        <v>129</v>
      </c>
      <c r="F260" t="s">
        <v>434</v>
      </c>
      <c r="G260" t="s">
        <v>432</v>
      </c>
      <c r="H260" t="s">
        <v>37</v>
      </c>
      <c r="I260">
        <v>29</v>
      </c>
      <c r="J260" t="s">
        <v>90</v>
      </c>
      <c r="K260" t="s">
        <v>56</v>
      </c>
      <c r="L260" t="s">
        <v>75</v>
      </c>
      <c r="M260" t="s">
        <v>58</v>
      </c>
      <c r="N260">
        <v>3</v>
      </c>
      <c r="O260">
        <v>25000</v>
      </c>
      <c r="P260">
        <v>10</v>
      </c>
      <c r="Q260">
        <v>67500</v>
      </c>
      <c r="R260">
        <v>50000</v>
      </c>
      <c r="S260">
        <v>17500</v>
      </c>
      <c r="T260" t="s">
        <v>84</v>
      </c>
      <c r="U260">
        <v>4</v>
      </c>
      <c r="V260">
        <v>3</v>
      </c>
      <c r="W260" t="s">
        <v>43</v>
      </c>
      <c r="X260">
        <v>202500</v>
      </c>
      <c r="Y260">
        <v>2025</v>
      </c>
      <c r="Z260">
        <v>3</v>
      </c>
      <c r="AA260">
        <v>5</v>
      </c>
      <c r="AB260" t="s">
        <v>68</v>
      </c>
      <c r="AC260" t="s">
        <v>69</v>
      </c>
      <c r="AD260" t="s">
        <v>99</v>
      </c>
      <c r="AE260" t="s">
        <v>100</v>
      </c>
      <c r="AF260" t="s">
        <v>87</v>
      </c>
    </row>
    <row r="261" spans="1:32" x14ac:dyDescent="0.3">
      <c r="A261">
        <v>1261</v>
      </c>
      <c r="B261" s="2">
        <v>45722</v>
      </c>
      <c r="C261" t="s">
        <v>32</v>
      </c>
      <c r="D261" t="s">
        <v>51</v>
      </c>
      <c r="E261" t="s">
        <v>51</v>
      </c>
      <c r="F261" t="s">
        <v>435</v>
      </c>
      <c r="G261" t="s">
        <v>123</v>
      </c>
      <c r="H261" t="s">
        <v>54</v>
      </c>
      <c r="I261">
        <v>39</v>
      </c>
      <c r="J261" t="s">
        <v>65</v>
      </c>
      <c r="K261" t="s">
        <v>56</v>
      </c>
      <c r="L261" t="s">
        <v>104</v>
      </c>
      <c r="M261" t="s">
        <v>48</v>
      </c>
      <c r="N261">
        <v>2</v>
      </c>
      <c r="O261">
        <v>55000</v>
      </c>
      <c r="P261">
        <v>5</v>
      </c>
      <c r="Q261">
        <v>104500</v>
      </c>
      <c r="R261">
        <v>85000</v>
      </c>
      <c r="S261">
        <v>19500</v>
      </c>
      <c r="T261" t="s">
        <v>105</v>
      </c>
      <c r="U261">
        <v>5</v>
      </c>
      <c r="V261">
        <v>2</v>
      </c>
      <c r="W261" t="s">
        <v>43</v>
      </c>
      <c r="X261">
        <v>209000</v>
      </c>
      <c r="Y261">
        <v>2025</v>
      </c>
      <c r="Z261">
        <v>3</v>
      </c>
      <c r="AA261">
        <v>6</v>
      </c>
      <c r="AB261" t="s">
        <v>135</v>
      </c>
      <c r="AC261" t="s">
        <v>136</v>
      </c>
      <c r="AD261" t="s">
        <v>99</v>
      </c>
      <c r="AE261" t="s">
        <v>100</v>
      </c>
      <c r="AF261" t="s">
        <v>106</v>
      </c>
    </row>
    <row r="262" spans="1:32" x14ac:dyDescent="0.3">
      <c r="A262">
        <v>1262</v>
      </c>
      <c r="B262" s="2">
        <v>45723</v>
      </c>
      <c r="C262" t="s">
        <v>49</v>
      </c>
      <c r="D262" t="s">
        <v>334</v>
      </c>
      <c r="E262" t="s">
        <v>335</v>
      </c>
      <c r="F262" t="s">
        <v>436</v>
      </c>
      <c r="G262" t="s">
        <v>75</v>
      </c>
      <c r="H262" t="s">
        <v>54</v>
      </c>
      <c r="I262">
        <v>39</v>
      </c>
      <c r="J262" t="s">
        <v>98</v>
      </c>
      <c r="K262" t="s">
        <v>56</v>
      </c>
      <c r="L262" t="s">
        <v>124</v>
      </c>
      <c r="M262" t="s">
        <v>58</v>
      </c>
      <c r="N262">
        <v>1</v>
      </c>
      <c r="O262">
        <v>10000</v>
      </c>
      <c r="P262">
        <v>5</v>
      </c>
      <c r="Q262">
        <v>9500</v>
      </c>
      <c r="R262">
        <v>7500</v>
      </c>
      <c r="S262">
        <v>2000</v>
      </c>
      <c r="T262" t="s">
        <v>42</v>
      </c>
      <c r="U262">
        <v>4</v>
      </c>
      <c r="V262">
        <v>2</v>
      </c>
      <c r="W262" t="s">
        <v>43</v>
      </c>
      <c r="X262">
        <v>9500</v>
      </c>
      <c r="Y262">
        <v>2025</v>
      </c>
      <c r="Z262">
        <v>3</v>
      </c>
      <c r="AA262">
        <v>7</v>
      </c>
      <c r="AB262" t="s">
        <v>115</v>
      </c>
      <c r="AC262" t="s">
        <v>116</v>
      </c>
      <c r="AD262" t="s">
        <v>99</v>
      </c>
      <c r="AE262" t="s">
        <v>100</v>
      </c>
      <c r="AF262" t="s">
        <v>48</v>
      </c>
    </row>
    <row r="263" spans="1:32" x14ac:dyDescent="0.3">
      <c r="A263">
        <v>1263</v>
      </c>
      <c r="B263" s="2">
        <v>45724</v>
      </c>
      <c r="C263" t="s">
        <v>72</v>
      </c>
      <c r="D263" t="s">
        <v>33</v>
      </c>
      <c r="E263" t="s">
        <v>34</v>
      </c>
      <c r="F263" t="s">
        <v>437</v>
      </c>
      <c r="G263" t="s">
        <v>92</v>
      </c>
      <c r="H263" t="s">
        <v>37</v>
      </c>
      <c r="I263">
        <v>32</v>
      </c>
      <c r="J263" t="s">
        <v>65</v>
      </c>
      <c r="K263" t="s">
        <v>56</v>
      </c>
      <c r="L263" t="s">
        <v>140</v>
      </c>
      <c r="M263" t="s">
        <v>48</v>
      </c>
      <c r="N263">
        <v>2</v>
      </c>
      <c r="O263">
        <v>55000</v>
      </c>
      <c r="P263">
        <v>5</v>
      </c>
      <c r="Q263">
        <v>104500</v>
      </c>
      <c r="R263">
        <v>85000</v>
      </c>
      <c r="S263">
        <v>19500</v>
      </c>
      <c r="T263" t="s">
        <v>84</v>
      </c>
      <c r="U263">
        <v>5</v>
      </c>
      <c r="V263">
        <v>2</v>
      </c>
      <c r="W263" t="s">
        <v>43</v>
      </c>
      <c r="X263">
        <v>209000</v>
      </c>
      <c r="Y263">
        <v>2025</v>
      </c>
      <c r="Z263">
        <v>3</v>
      </c>
      <c r="AA263">
        <v>8</v>
      </c>
      <c r="AB263" t="s">
        <v>77</v>
      </c>
      <c r="AC263" t="s">
        <v>78</v>
      </c>
      <c r="AD263" t="s">
        <v>99</v>
      </c>
      <c r="AE263" t="s">
        <v>100</v>
      </c>
      <c r="AF263" t="s">
        <v>87</v>
      </c>
    </row>
    <row r="264" spans="1:32" x14ac:dyDescent="0.3">
      <c r="A264">
        <v>1264</v>
      </c>
      <c r="B264" s="2">
        <v>45725</v>
      </c>
      <c r="C264" t="s">
        <v>107</v>
      </c>
      <c r="D264" t="s">
        <v>101</v>
      </c>
      <c r="E264" t="s">
        <v>51</v>
      </c>
      <c r="F264" t="s">
        <v>438</v>
      </c>
      <c r="G264" t="s">
        <v>355</v>
      </c>
      <c r="H264" t="s">
        <v>54</v>
      </c>
      <c r="I264">
        <v>35</v>
      </c>
      <c r="J264" t="s">
        <v>90</v>
      </c>
      <c r="K264" t="s">
        <v>56</v>
      </c>
      <c r="L264" t="s">
        <v>66</v>
      </c>
      <c r="M264" t="s">
        <v>58</v>
      </c>
      <c r="N264">
        <v>3</v>
      </c>
      <c r="O264">
        <v>25000</v>
      </c>
      <c r="P264">
        <v>8</v>
      </c>
      <c r="Q264">
        <v>67500</v>
      </c>
      <c r="R264">
        <v>50000</v>
      </c>
      <c r="S264">
        <v>17500</v>
      </c>
      <c r="T264" t="s">
        <v>105</v>
      </c>
      <c r="U264">
        <v>4</v>
      </c>
      <c r="V264">
        <v>3</v>
      </c>
      <c r="W264" t="s">
        <v>43</v>
      </c>
      <c r="X264">
        <v>202500</v>
      </c>
      <c r="Y264">
        <v>2025</v>
      </c>
      <c r="Z264">
        <v>3</v>
      </c>
      <c r="AA264">
        <v>9</v>
      </c>
      <c r="AB264" t="s">
        <v>44</v>
      </c>
      <c r="AC264" t="s">
        <v>45</v>
      </c>
      <c r="AD264" t="s">
        <v>99</v>
      </c>
      <c r="AE264" t="s">
        <v>100</v>
      </c>
      <c r="AF264" t="s">
        <v>106</v>
      </c>
    </row>
    <row r="265" spans="1:32" x14ac:dyDescent="0.3">
      <c r="A265">
        <v>1265</v>
      </c>
      <c r="B265" s="2">
        <v>45726</v>
      </c>
      <c r="C265" t="s">
        <v>107</v>
      </c>
      <c r="D265" t="s">
        <v>101</v>
      </c>
      <c r="E265" t="s">
        <v>127</v>
      </c>
      <c r="F265" t="s">
        <v>439</v>
      </c>
      <c r="G265" t="s">
        <v>355</v>
      </c>
      <c r="H265" t="s">
        <v>54</v>
      </c>
      <c r="I265">
        <v>35</v>
      </c>
      <c r="J265" t="s">
        <v>90</v>
      </c>
      <c r="K265" t="s">
        <v>56</v>
      </c>
      <c r="L265" t="s">
        <v>66</v>
      </c>
      <c r="M265" t="s">
        <v>58</v>
      </c>
      <c r="N265">
        <v>3</v>
      </c>
      <c r="O265">
        <v>25000</v>
      </c>
      <c r="P265">
        <v>8</v>
      </c>
      <c r="Q265">
        <v>67500</v>
      </c>
      <c r="R265">
        <v>50000</v>
      </c>
      <c r="S265">
        <v>17500</v>
      </c>
      <c r="T265" t="s">
        <v>105</v>
      </c>
      <c r="U265">
        <v>4</v>
      </c>
      <c r="V265">
        <v>3</v>
      </c>
      <c r="W265" t="s">
        <v>43</v>
      </c>
      <c r="X265">
        <v>202500</v>
      </c>
      <c r="Y265">
        <v>2025</v>
      </c>
      <c r="Z265">
        <v>3</v>
      </c>
      <c r="AA265">
        <v>10</v>
      </c>
      <c r="AB265" t="s">
        <v>110</v>
      </c>
      <c r="AC265" t="s">
        <v>111</v>
      </c>
      <c r="AD265" t="s">
        <v>99</v>
      </c>
      <c r="AE265" t="s">
        <v>100</v>
      </c>
      <c r="AF265" t="s">
        <v>106</v>
      </c>
    </row>
    <row r="266" spans="1:32" x14ac:dyDescent="0.3">
      <c r="A266">
        <v>1266</v>
      </c>
      <c r="B266" s="2">
        <v>45727</v>
      </c>
      <c r="C266" t="s">
        <v>49</v>
      </c>
      <c r="D266" t="s">
        <v>81</v>
      </c>
      <c r="E266" t="s">
        <v>82</v>
      </c>
      <c r="F266" t="s">
        <v>440</v>
      </c>
      <c r="G266" t="s">
        <v>441</v>
      </c>
      <c r="H266" t="s">
        <v>37</v>
      </c>
      <c r="I266">
        <v>28</v>
      </c>
      <c r="J266" t="s">
        <v>90</v>
      </c>
      <c r="K266" t="s">
        <v>56</v>
      </c>
      <c r="L266" t="s">
        <v>40</v>
      </c>
      <c r="M266" t="s">
        <v>48</v>
      </c>
      <c r="N266">
        <v>2</v>
      </c>
      <c r="O266">
        <v>55000</v>
      </c>
      <c r="P266">
        <v>5</v>
      </c>
      <c r="Q266">
        <v>104500</v>
      </c>
      <c r="R266">
        <v>85000</v>
      </c>
      <c r="S266">
        <v>19500</v>
      </c>
      <c r="T266" t="s">
        <v>42</v>
      </c>
      <c r="U266">
        <v>4</v>
      </c>
      <c r="V266">
        <v>2</v>
      </c>
      <c r="W266" t="s">
        <v>43</v>
      </c>
      <c r="X266">
        <v>209000</v>
      </c>
      <c r="Y266">
        <v>2025</v>
      </c>
      <c r="Z266">
        <v>3</v>
      </c>
      <c r="AA266">
        <v>11</v>
      </c>
      <c r="AB266" t="s">
        <v>59</v>
      </c>
      <c r="AC266" t="s">
        <v>60</v>
      </c>
      <c r="AD266" t="s">
        <v>99</v>
      </c>
      <c r="AE266" t="s">
        <v>100</v>
      </c>
      <c r="AF266" t="s">
        <v>48</v>
      </c>
    </row>
    <row r="267" spans="1:32" x14ac:dyDescent="0.3">
      <c r="A267">
        <v>1267</v>
      </c>
      <c r="B267" s="2">
        <v>45728</v>
      </c>
      <c r="C267" t="s">
        <v>72</v>
      </c>
      <c r="D267" t="s">
        <v>346</v>
      </c>
      <c r="E267" t="s">
        <v>347</v>
      </c>
      <c r="F267" t="s">
        <v>442</v>
      </c>
      <c r="G267" t="s">
        <v>443</v>
      </c>
      <c r="H267" t="s">
        <v>54</v>
      </c>
      <c r="I267">
        <v>34</v>
      </c>
      <c r="J267" t="s">
        <v>109</v>
      </c>
      <c r="K267" t="s">
        <v>39</v>
      </c>
      <c r="L267" t="s">
        <v>64</v>
      </c>
      <c r="M267" t="s">
        <v>58</v>
      </c>
      <c r="N267">
        <v>5</v>
      </c>
      <c r="O267">
        <v>18754.14</v>
      </c>
      <c r="P267">
        <v>0</v>
      </c>
      <c r="Q267">
        <v>4000</v>
      </c>
      <c r="R267">
        <v>2000</v>
      </c>
      <c r="S267">
        <v>2000</v>
      </c>
      <c r="T267" t="s">
        <v>84</v>
      </c>
      <c r="U267">
        <v>3</v>
      </c>
      <c r="V267">
        <v>2</v>
      </c>
      <c r="W267" t="s">
        <v>43</v>
      </c>
      <c r="X267">
        <v>20000</v>
      </c>
      <c r="Y267">
        <v>2025</v>
      </c>
      <c r="Z267">
        <v>3</v>
      </c>
      <c r="AA267">
        <v>12</v>
      </c>
      <c r="AB267" t="s">
        <v>68</v>
      </c>
      <c r="AC267" t="s">
        <v>69</v>
      </c>
      <c r="AD267" t="s">
        <v>99</v>
      </c>
      <c r="AE267" t="s">
        <v>100</v>
      </c>
      <c r="AF267" t="s">
        <v>87</v>
      </c>
    </row>
    <row r="268" spans="1:32" x14ac:dyDescent="0.3">
      <c r="A268">
        <v>1268</v>
      </c>
      <c r="B268" s="2">
        <v>45729</v>
      </c>
      <c r="C268" t="s">
        <v>32</v>
      </c>
      <c r="D268" t="s">
        <v>408</v>
      </c>
      <c r="E268" t="s">
        <v>409</v>
      </c>
      <c r="F268" t="s">
        <v>444</v>
      </c>
      <c r="G268" t="s">
        <v>445</v>
      </c>
      <c r="H268" t="s">
        <v>37</v>
      </c>
      <c r="I268">
        <v>29</v>
      </c>
      <c r="J268" t="s">
        <v>103</v>
      </c>
      <c r="K268" t="s">
        <v>39</v>
      </c>
      <c r="L268" t="s">
        <v>75</v>
      </c>
      <c r="M268" t="s">
        <v>48</v>
      </c>
      <c r="N268">
        <v>3</v>
      </c>
      <c r="O268">
        <v>1200</v>
      </c>
      <c r="P268">
        <v>0</v>
      </c>
      <c r="Q268">
        <v>3600</v>
      </c>
      <c r="R268">
        <v>2100</v>
      </c>
      <c r="S268">
        <v>1500</v>
      </c>
      <c r="T268" t="s">
        <v>105</v>
      </c>
      <c r="U268">
        <v>4</v>
      </c>
      <c r="V268">
        <v>4</v>
      </c>
      <c r="W268" t="s">
        <v>43</v>
      </c>
      <c r="X268">
        <v>10800</v>
      </c>
      <c r="Y268">
        <v>2025</v>
      </c>
      <c r="Z268">
        <v>3</v>
      </c>
      <c r="AA268">
        <v>13</v>
      </c>
      <c r="AB268" t="s">
        <v>135</v>
      </c>
      <c r="AC268" t="s">
        <v>136</v>
      </c>
      <c r="AD268" t="s">
        <v>99</v>
      </c>
      <c r="AE268" t="s">
        <v>100</v>
      </c>
      <c r="AF268" t="s">
        <v>106</v>
      </c>
    </row>
    <row r="269" spans="1:32" x14ac:dyDescent="0.3">
      <c r="A269">
        <v>1269</v>
      </c>
      <c r="B269" s="2">
        <v>45730</v>
      </c>
      <c r="C269" t="s">
        <v>107</v>
      </c>
      <c r="D269" t="s">
        <v>356</v>
      </c>
      <c r="E269" t="s">
        <v>357</v>
      </c>
      <c r="F269" t="s">
        <v>446</v>
      </c>
      <c r="G269" t="s">
        <v>447</v>
      </c>
      <c r="H269" t="s">
        <v>54</v>
      </c>
      <c r="I269">
        <v>31</v>
      </c>
      <c r="J269" t="s">
        <v>98</v>
      </c>
      <c r="K269" t="s">
        <v>56</v>
      </c>
      <c r="L269" t="s">
        <v>57</v>
      </c>
      <c r="M269" t="s">
        <v>58</v>
      </c>
      <c r="N269">
        <v>1</v>
      </c>
      <c r="O269">
        <v>10000</v>
      </c>
      <c r="P269">
        <v>5</v>
      </c>
      <c r="Q269">
        <v>9500</v>
      </c>
      <c r="R269">
        <v>7500</v>
      </c>
      <c r="S269">
        <v>2000</v>
      </c>
      <c r="T269" t="s">
        <v>42</v>
      </c>
      <c r="U269">
        <v>5</v>
      </c>
      <c r="V269">
        <v>3</v>
      </c>
      <c r="W269" t="s">
        <v>43</v>
      </c>
      <c r="X269">
        <v>9500</v>
      </c>
      <c r="Y269">
        <v>2025</v>
      </c>
      <c r="Z269">
        <v>3</v>
      </c>
      <c r="AA269">
        <v>14</v>
      </c>
      <c r="AB269" t="s">
        <v>115</v>
      </c>
      <c r="AC269" t="s">
        <v>116</v>
      </c>
      <c r="AD269" t="s">
        <v>99</v>
      </c>
      <c r="AE269" t="s">
        <v>100</v>
      </c>
      <c r="AF269" t="s">
        <v>48</v>
      </c>
    </row>
    <row r="270" spans="1:32" x14ac:dyDescent="0.3">
      <c r="A270">
        <v>1270</v>
      </c>
      <c r="B270" s="2">
        <v>45731</v>
      </c>
      <c r="C270" t="s">
        <v>49</v>
      </c>
      <c r="D270" t="s">
        <v>350</v>
      </c>
      <c r="E270" t="s">
        <v>351</v>
      </c>
      <c r="F270" t="s">
        <v>448</v>
      </c>
      <c r="G270" t="s">
        <v>449</v>
      </c>
      <c r="H270" t="s">
        <v>37</v>
      </c>
      <c r="I270">
        <v>27</v>
      </c>
      <c r="J270" t="s">
        <v>65</v>
      </c>
      <c r="K270" t="s">
        <v>56</v>
      </c>
      <c r="L270" t="s">
        <v>104</v>
      </c>
      <c r="M270" t="s">
        <v>48</v>
      </c>
      <c r="N270">
        <v>2</v>
      </c>
      <c r="O270">
        <v>55000</v>
      </c>
      <c r="P270">
        <v>5</v>
      </c>
      <c r="Q270">
        <v>104500</v>
      </c>
      <c r="R270">
        <v>85000</v>
      </c>
      <c r="S270">
        <v>50000</v>
      </c>
      <c r="T270" t="s">
        <v>84</v>
      </c>
      <c r="U270">
        <v>4</v>
      </c>
      <c r="V270">
        <v>2</v>
      </c>
      <c r="W270" t="s">
        <v>43</v>
      </c>
      <c r="X270">
        <v>209000</v>
      </c>
      <c r="Y270">
        <v>2025</v>
      </c>
      <c r="Z270">
        <v>3</v>
      </c>
      <c r="AA270">
        <v>15</v>
      </c>
      <c r="AB270" t="s">
        <v>77</v>
      </c>
      <c r="AC270" t="s">
        <v>78</v>
      </c>
      <c r="AD270" t="s">
        <v>99</v>
      </c>
      <c r="AE270" t="s">
        <v>100</v>
      </c>
      <c r="AF270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7E6B-8C39-4BDB-8872-FE9E19E22201}">
  <dimension ref="C3:I272"/>
  <sheetViews>
    <sheetView tabSelected="1" workbookViewId="0">
      <selection activeCell="H49" sqref="H49"/>
    </sheetView>
  </sheetViews>
  <sheetFormatPr defaultRowHeight="14.4" x14ac:dyDescent="0.3"/>
  <cols>
    <col min="5" max="5" width="10.33203125" customWidth="1"/>
    <col min="6" max="6" width="12.5546875" customWidth="1"/>
    <col min="7" max="7" width="16.109375" customWidth="1"/>
  </cols>
  <sheetData>
    <row r="3" spans="3:9" x14ac:dyDescent="0.3">
      <c r="D3" s="1" t="s">
        <v>8</v>
      </c>
      <c r="E3" t="s">
        <v>450</v>
      </c>
      <c r="F3" t="s">
        <v>451</v>
      </c>
      <c r="G3" t="s">
        <v>452</v>
      </c>
      <c r="H3" t="s">
        <v>453</v>
      </c>
      <c r="I3" t="s">
        <v>454</v>
      </c>
    </row>
    <row r="4" spans="3:9" x14ac:dyDescent="0.3">
      <c r="C4">
        <v>10</v>
      </c>
      <c r="D4">
        <v>20</v>
      </c>
      <c r="E4">
        <f>AVERAGE($D4:$D$272)</f>
        <v>39.193308550185876</v>
      </c>
      <c r="F4">
        <f>MEDIAN($D4:$D$272)</f>
        <v>38</v>
      </c>
      <c r="G4">
        <f>COUNT(D4:D272)</f>
        <v>269</v>
      </c>
      <c r="H4">
        <f>POWER(D4-F4,2)/G4</f>
        <v>1.204460966542751</v>
      </c>
      <c r="I4">
        <f>SQRT(H4)</f>
        <v>1.0974793695294462</v>
      </c>
    </row>
    <row r="5" spans="3:9" x14ac:dyDescent="0.3">
      <c r="C5">
        <v>20</v>
      </c>
      <c r="D5">
        <v>20</v>
      </c>
    </row>
    <row r="6" spans="3:9" x14ac:dyDescent="0.3">
      <c r="C6">
        <v>30</v>
      </c>
      <c r="D6">
        <v>20</v>
      </c>
    </row>
    <row r="7" spans="3:9" x14ac:dyDescent="0.3">
      <c r="C7">
        <v>40</v>
      </c>
      <c r="D7">
        <v>20</v>
      </c>
    </row>
    <row r="8" spans="3:9" x14ac:dyDescent="0.3">
      <c r="C8">
        <v>50</v>
      </c>
      <c r="D8">
        <v>21</v>
      </c>
    </row>
    <row r="9" spans="3:9" x14ac:dyDescent="0.3">
      <c r="C9">
        <v>60</v>
      </c>
      <c r="D9">
        <v>21</v>
      </c>
    </row>
    <row r="10" spans="3:9" ht="15" thickBot="1" x14ac:dyDescent="0.35">
      <c r="C10">
        <v>70</v>
      </c>
      <c r="D10">
        <v>21</v>
      </c>
    </row>
    <row r="11" spans="3:9" x14ac:dyDescent="0.3">
      <c r="D11">
        <v>21</v>
      </c>
      <c r="F11" s="4" t="s">
        <v>455</v>
      </c>
      <c r="G11" s="4" t="s">
        <v>457</v>
      </c>
    </row>
    <row r="12" spans="3:9" x14ac:dyDescent="0.3">
      <c r="D12">
        <v>21</v>
      </c>
      <c r="F12">
        <v>20</v>
      </c>
      <c r="G12">
        <v>3</v>
      </c>
    </row>
    <row r="13" spans="3:9" x14ac:dyDescent="0.3">
      <c r="D13">
        <v>21</v>
      </c>
      <c r="F13">
        <v>30</v>
      </c>
      <c r="G13">
        <v>66</v>
      </c>
    </row>
    <row r="14" spans="3:9" x14ac:dyDescent="0.3">
      <c r="D14">
        <v>21</v>
      </c>
      <c r="F14">
        <v>40</v>
      </c>
      <c r="G14">
        <v>90</v>
      </c>
    </row>
    <row r="15" spans="3:9" x14ac:dyDescent="0.3">
      <c r="D15">
        <v>22</v>
      </c>
      <c r="F15">
        <v>50</v>
      </c>
      <c r="G15">
        <v>51</v>
      </c>
    </row>
    <row r="16" spans="3:9" x14ac:dyDescent="0.3">
      <c r="D16">
        <v>22</v>
      </c>
      <c r="F16">
        <v>60</v>
      </c>
      <c r="G16">
        <v>58</v>
      </c>
    </row>
    <row r="17" spans="4:7" x14ac:dyDescent="0.3">
      <c r="D17">
        <v>22</v>
      </c>
      <c r="F17">
        <v>70</v>
      </c>
      <c r="G17">
        <v>0</v>
      </c>
    </row>
    <row r="18" spans="4:7" ht="15" thickBot="1" x14ac:dyDescent="0.35">
      <c r="D18">
        <v>22</v>
      </c>
      <c r="F18" s="3" t="s">
        <v>456</v>
      </c>
      <c r="G18" s="3">
        <v>0</v>
      </c>
    </row>
    <row r="19" spans="4:7" x14ac:dyDescent="0.3">
      <c r="D19">
        <v>23</v>
      </c>
    </row>
    <row r="20" spans="4:7" x14ac:dyDescent="0.3">
      <c r="D20">
        <v>23</v>
      </c>
    </row>
    <row r="21" spans="4:7" x14ac:dyDescent="0.3">
      <c r="D21">
        <v>23</v>
      </c>
    </row>
    <row r="22" spans="4:7" x14ac:dyDescent="0.3">
      <c r="D22">
        <v>23</v>
      </c>
    </row>
    <row r="23" spans="4:7" x14ac:dyDescent="0.3">
      <c r="D23">
        <v>23</v>
      </c>
    </row>
    <row r="24" spans="4:7" x14ac:dyDescent="0.3">
      <c r="D24">
        <v>24</v>
      </c>
    </row>
    <row r="25" spans="4:7" x14ac:dyDescent="0.3">
      <c r="D25">
        <v>24</v>
      </c>
    </row>
    <row r="26" spans="4:7" x14ac:dyDescent="0.3">
      <c r="D26">
        <v>25</v>
      </c>
    </row>
    <row r="27" spans="4:7" x14ac:dyDescent="0.3">
      <c r="D27">
        <v>25</v>
      </c>
    </row>
    <row r="28" spans="4:7" x14ac:dyDescent="0.3">
      <c r="D28">
        <v>25</v>
      </c>
    </row>
    <row r="29" spans="4:7" x14ac:dyDescent="0.3">
      <c r="D29">
        <v>25</v>
      </c>
    </row>
    <row r="30" spans="4:7" x14ac:dyDescent="0.3">
      <c r="D30">
        <v>25</v>
      </c>
    </row>
    <row r="31" spans="4:7" x14ac:dyDescent="0.3">
      <c r="D31">
        <v>25</v>
      </c>
    </row>
    <row r="32" spans="4:7" x14ac:dyDescent="0.3">
      <c r="D32">
        <v>26</v>
      </c>
    </row>
    <row r="33" spans="4:8" x14ac:dyDescent="0.3">
      <c r="D33">
        <v>26</v>
      </c>
    </row>
    <row r="34" spans="4:8" x14ac:dyDescent="0.3">
      <c r="D34">
        <v>26</v>
      </c>
    </row>
    <row r="35" spans="4:8" x14ac:dyDescent="0.3">
      <c r="D35">
        <v>27</v>
      </c>
    </row>
    <row r="36" spans="4:8" x14ac:dyDescent="0.3">
      <c r="D36">
        <v>27</v>
      </c>
    </row>
    <row r="37" spans="4:8" x14ac:dyDescent="0.3">
      <c r="D37">
        <v>27</v>
      </c>
    </row>
    <row r="38" spans="4:8" x14ac:dyDescent="0.3">
      <c r="D38">
        <v>27</v>
      </c>
    </row>
    <row r="39" spans="4:8" x14ac:dyDescent="0.3">
      <c r="D39">
        <v>27</v>
      </c>
      <c r="F39" t="s">
        <v>460</v>
      </c>
      <c r="G39" t="s">
        <v>458</v>
      </c>
      <c r="H39" t="s">
        <v>459</v>
      </c>
    </row>
    <row r="40" spans="4:8" x14ac:dyDescent="0.3">
      <c r="D40">
        <v>27</v>
      </c>
      <c r="F40">
        <f>MEDIAN(D4:D272)</f>
        <v>38</v>
      </c>
      <c r="G40">
        <f>MIN(D4:D272)</f>
        <v>20</v>
      </c>
      <c r="H40">
        <f>MAX(D4:D272)</f>
        <v>60</v>
      </c>
    </row>
    <row r="41" spans="4:8" x14ac:dyDescent="0.3">
      <c r="D41">
        <v>27</v>
      </c>
    </row>
    <row r="42" spans="4:8" x14ac:dyDescent="0.3">
      <c r="D42">
        <v>27</v>
      </c>
    </row>
    <row r="43" spans="4:8" x14ac:dyDescent="0.3">
      <c r="D43">
        <v>27</v>
      </c>
      <c r="F43" t="s">
        <v>461</v>
      </c>
      <c r="G43" t="s">
        <v>462</v>
      </c>
      <c r="H43" t="s">
        <v>463</v>
      </c>
    </row>
    <row r="44" spans="4:8" x14ac:dyDescent="0.3">
      <c r="D44">
        <v>27</v>
      </c>
      <c r="F44">
        <f>_xlfn.QUARTILE.EXC(D4:D272,1)</f>
        <v>30</v>
      </c>
      <c r="G44">
        <f>_xlfn.QUARTILE.EXC(D4:D272,2)</f>
        <v>38</v>
      </c>
      <c r="H44">
        <f>_xlfn.QUARTILE.EXC(D4:D272,3)</f>
        <v>48</v>
      </c>
    </row>
    <row r="45" spans="4:8" x14ac:dyDescent="0.3">
      <c r="D45">
        <v>27</v>
      </c>
    </row>
    <row r="46" spans="4:8" x14ac:dyDescent="0.3">
      <c r="D46">
        <v>28</v>
      </c>
    </row>
    <row r="47" spans="4:8" x14ac:dyDescent="0.3">
      <c r="D47">
        <v>28</v>
      </c>
      <c r="F47" t="s">
        <v>464</v>
      </c>
      <c r="G47" t="s">
        <v>465</v>
      </c>
      <c r="H47" t="s">
        <v>466</v>
      </c>
    </row>
    <row r="48" spans="4:8" x14ac:dyDescent="0.3">
      <c r="D48">
        <v>28</v>
      </c>
      <c r="F48">
        <f>H44-F44</f>
        <v>18</v>
      </c>
      <c r="G48">
        <f>F44-(1.5)*F48</f>
        <v>3</v>
      </c>
      <c r="H48">
        <f>H44+(1.5)*F48</f>
        <v>75</v>
      </c>
    </row>
    <row r="49" spans="4:4" x14ac:dyDescent="0.3">
      <c r="D49">
        <v>28</v>
      </c>
    </row>
    <row r="50" spans="4:4" x14ac:dyDescent="0.3">
      <c r="D50">
        <v>28</v>
      </c>
    </row>
    <row r="51" spans="4:4" x14ac:dyDescent="0.3">
      <c r="D51">
        <v>28</v>
      </c>
    </row>
    <row r="52" spans="4:4" x14ac:dyDescent="0.3">
      <c r="D52">
        <v>29</v>
      </c>
    </row>
    <row r="53" spans="4:4" x14ac:dyDescent="0.3">
      <c r="D53">
        <v>29</v>
      </c>
    </row>
    <row r="54" spans="4:4" x14ac:dyDescent="0.3">
      <c r="D54">
        <v>29</v>
      </c>
    </row>
    <row r="55" spans="4:4" x14ac:dyDescent="0.3">
      <c r="D55">
        <v>29</v>
      </c>
    </row>
    <row r="56" spans="4:4" x14ac:dyDescent="0.3">
      <c r="D56">
        <v>29</v>
      </c>
    </row>
    <row r="57" spans="4:4" x14ac:dyDescent="0.3">
      <c r="D57">
        <v>29</v>
      </c>
    </row>
    <row r="58" spans="4:4" x14ac:dyDescent="0.3">
      <c r="D58">
        <v>29</v>
      </c>
    </row>
    <row r="59" spans="4:4" x14ac:dyDescent="0.3">
      <c r="D59">
        <v>29</v>
      </c>
    </row>
    <row r="60" spans="4:4" x14ac:dyDescent="0.3">
      <c r="D60">
        <v>29</v>
      </c>
    </row>
    <row r="61" spans="4:4" x14ac:dyDescent="0.3">
      <c r="D61">
        <v>29</v>
      </c>
    </row>
    <row r="62" spans="4:4" x14ac:dyDescent="0.3">
      <c r="D62">
        <v>29</v>
      </c>
    </row>
    <row r="63" spans="4:4" x14ac:dyDescent="0.3">
      <c r="D63">
        <v>29</v>
      </c>
    </row>
    <row r="64" spans="4:4" x14ac:dyDescent="0.3">
      <c r="D64">
        <v>29</v>
      </c>
    </row>
    <row r="65" spans="4:4" x14ac:dyDescent="0.3">
      <c r="D65">
        <v>29</v>
      </c>
    </row>
    <row r="66" spans="4:4" x14ac:dyDescent="0.3">
      <c r="D66">
        <v>29</v>
      </c>
    </row>
    <row r="67" spans="4:4" x14ac:dyDescent="0.3">
      <c r="D67">
        <v>30</v>
      </c>
    </row>
    <row r="68" spans="4:4" x14ac:dyDescent="0.3">
      <c r="D68">
        <v>30</v>
      </c>
    </row>
    <row r="69" spans="4:4" x14ac:dyDescent="0.3">
      <c r="D69">
        <v>30</v>
      </c>
    </row>
    <row r="70" spans="4:4" x14ac:dyDescent="0.3">
      <c r="D70">
        <v>30</v>
      </c>
    </row>
    <row r="71" spans="4:4" x14ac:dyDescent="0.3">
      <c r="D71">
        <v>30</v>
      </c>
    </row>
    <row r="72" spans="4:4" x14ac:dyDescent="0.3">
      <c r="D72">
        <v>30</v>
      </c>
    </row>
    <row r="73" spans="4:4" x14ac:dyDescent="0.3">
      <c r="D73">
        <v>30</v>
      </c>
    </row>
    <row r="74" spans="4:4" x14ac:dyDescent="0.3">
      <c r="D74">
        <v>31</v>
      </c>
    </row>
    <row r="75" spans="4:4" x14ac:dyDescent="0.3">
      <c r="D75">
        <v>31</v>
      </c>
    </row>
    <row r="76" spans="4:4" x14ac:dyDescent="0.3">
      <c r="D76">
        <v>31</v>
      </c>
    </row>
    <row r="77" spans="4:4" x14ac:dyDescent="0.3">
      <c r="D77">
        <v>31</v>
      </c>
    </row>
    <row r="78" spans="4:4" x14ac:dyDescent="0.3">
      <c r="D78">
        <v>31</v>
      </c>
    </row>
    <row r="79" spans="4:4" x14ac:dyDescent="0.3">
      <c r="D79">
        <v>31</v>
      </c>
    </row>
    <row r="80" spans="4:4" x14ac:dyDescent="0.3">
      <c r="D80">
        <v>31</v>
      </c>
    </row>
    <row r="81" spans="4:4" x14ac:dyDescent="0.3">
      <c r="D81">
        <v>31</v>
      </c>
    </row>
    <row r="82" spans="4:4" x14ac:dyDescent="0.3">
      <c r="D82">
        <v>32</v>
      </c>
    </row>
    <row r="83" spans="4:4" x14ac:dyDescent="0.3">
      <c r="D83">
        <v>32</v>
      </c>
    </row>
    <row r="84" spans="4:4" x14ac:dyDescent="0.3">
      <c r="D84">
        <v>32</v>
      </c>
    </row>
    <row r="85" spans="4:4" x14ac:dyDescent="0.3">
      <c r="D85">
        <v>32</v>
      </c>
    </row>
    <row r="86" spans="4:4" x14ac:dyDescent="0.3">
      <c r="D86">
        <v>32</v>
      </c>
    </row>
    <row r="87" spans="4:4" x14ac:dyDescent="0.3">
      <c r="D87">
        <v>32</v>
      </c>
    </row>
    <row r="88" spans="4:4" x14ac:dyDescent="0.3">
      <c r="D88">
        <v>32</v>
      </c>
    </row>
    <row r="89" spans="4:4" x14ac:dyDescent="0.3">
      <c r="D89">
        <v>32</v>
      </c>
    </row>
    <row r="90" spans="4:4" x14ac:dyDescent="0.3">
      <c r="D90">
        <v>32</v>
      </c>
    </row>
    <row r="91" spans="4:4" x14ac:dyDescent="0.3">
      <c r="D91">
        <v>32</v>
      </c>
    </row>
    <row r="92" spans="4:4" x14ac:dyDescent="0.3">
      <c r="D92">
        <v>32</v>
      </c>
    </row>
    <row r="93" spans="4:4" x14ac:dyDescent="0.3">
      <c r="D93">
        <v>32</v>
      </c>
    </row>
    <row r="94" spans="4:4" x14ac:dyDescent="0.3">
      <c r="D94">
        <v>32</v>
      </c>
    </row>
    <row r="95" spans="4:4" x14ac:dyDescent="0.3">
      <c r="D95">
        <v>33</v>
      </c>
    </row>
    <row r="96" spans="4:4" x14ac:dyDescent="0.3">
      <c r="D96">
        <v>33</v>
      </c>
    </row>
    <row r="97" spans="4:4" x14ac:dyDescent="0.3">
      <c r="D97">
        <v>33</v>
      </c>
    </row>
    <row r="98" spans="4:4" x14ac:dyDescent="0.3">
      <c r="D98">
        <v>33</v>
      </c>
    </row>
    <row r="99" spans="4:4" x14ac:dyDescent="0.3">
      <c r="D99">
        <v>33</v>
      </c>
    </row>
    <row r="100" spans="4:4" x14ac:dyDescent="0.3">
      <c r="D100">
        <v>33</v>
      </c>
    </row>
    <row r="101" spans="4:4" x14ac:dyDescent="0.3">
      <c r="D101">
        <v>33</v>
      </c>
    </row>
    <row r="102" spans="4:4" x14ac:dyDescent="0.3">
      <c r="D102">
        <v>34</v>
      </c>
    </row>
    <row r="103" spans="4:4" x14ac:dyDescent="0.3">
      <c r="D103">
        <v>34</v>
      </c>
    </row>
    <row r="104" spans="4:4" x14ac:dyDescent="0.3">
      <c r="D104">
        <v>34</v>
      </c>
    </row>
    <row r="105" spans="4:4" x14ac:dyDescent="0.3">
      <c r="D105">
        <v>34</v>
      </c>
    </row>
    <row r="106" spans="4:4" x14ac:dyDescent="0.3">
      <c r="D106">
        <v>34</v>
      </c>
    </row>
    <row r="107" spans="4:4" x14ac:dyDescent="0.3">
      <c r="D107">
        <v>34</v>
      </c>
    </row>
    <row r="108" spans="4:4" x14ac:dyDescent="0.3">
      <c r="D108">
        <v>34</v>
      </c>
    </row>
    <row r="109" spans="4:4" x14ac:dyDescent="0.3">
      <c r="D109">
        <v>34</v>
      </c>
    </row>
    <row r="110" spans="4:4" x14ac:dyDescent="0.3">
      <c r="D110">
        <v>34</v>
      </c>
    </row>
    <row r="111" spans="4:4" x14ac:dyDescent="0.3">
      <c r="D111">
        <v>34</v>
      </c>
    </row>
    <row r="112" spans="4:4" x14ac:dyDescent="0.3">
      <c r="D112">
        <v>34</v>
      </c>
    </row>
    <row r="113" spans="4:4" x14ac:dyDescent="0.3">
      <c r="D113">
        <v>34</v>
      </c>
    </row>
    <row r="114" spans="4:4" x14ac:dyDescent="0.3">
      <c r="D114">
        <v>35</v>
      </c>
    </row>
    <row r="115" spans="4:4" x14ac:dyDescent="0.3">
      <c r="D115">
        <v>35</v>
      </c>
    </row>
    <row r="116" spans="4:4" x14ac:dyDescent="0.3">
      <c r="D116">
        <v>35</v>
      </c>
    </row>
    <row r="117" spans="4:4" x14ac:dyDescent="0.3">
      <c r="D117">
        <v>35</v>
      </c>
    </row>
    <row r="118" spans="4:4" x14ac:dyDescent="0.3">
      <c r="D118">
        <v>35</v>
      </c>
    </row>
    <row r="119" spans="4:4" x14ac:dyDescent="0.3">
      <c r="D119">
        <v>35</v>
      </c>
    </row>
    <row r="120" spans="4:4" x14ac:dyDescent="0.3">
      <c r="D120">
        <v>35</v>
      </c>
    </row>
    <row r="121" spans="4:4" x14ac:dyDescent="0.3">
      <c r="D121">
        <v>36</v>
      </c>
    </row>
    <row r="122" spans="4:4" x14ac:dyDescent="0.3">
      <c r="D122">
        <v>36</v>
      </c>
    </row>
    <row r="123" spans="4:4" x14ac:dyDescent="0.3">
      <c r="D123">
        <v>36</v>
      </c>
    </row>
    <row r="124" spans="4:4" x14ac:dyDescent="0.3">
      <c r="D124">
        <v>36</v>
      </c>
    </row>
    <row r="125" spans="4:4" x14ac:dyDescent="0.3">
      <c r="D125">
        <v>36</v>
      </c>
    </row>
    <row r="126" spans="4:4" x14ac:dyDescent="0.3">
      <c r="D126">
        <v>36</v>
      </c>
    </row>
    <row r="127" spans="4:4" x14ac:dyDescent="0.3">
      <c r="D127">
        <v>37</v>
      </c>
    </row>
    <row r="128" spans="4:4" x14ac:dyDescent="0.3">
      <c r="D128">
        <v>37</v>
      </c>
    </row>
    <row r="129" spans="4:4" x14ac:dyDescent="0.3">
      <c r="D129">
        <v>37</v>
      </c>
    </row>
    <row r="130" spans="4:4" x14ac:dyDescent="0.3">
      <c r="D130">
        <v>37</v>
      </c>
    </row>
    <row r="131" spans="4:4" x14ac:dyDescent="0.3">
      <c r="D131">
        <v>37</v>
      </c>
    </row>
    <row r="132" spans="4:4" x14ac:dyDescent="0.3">
      <c r="D132">
        <v>37</v>
      </c>
    </row>
    <row r="133" spans="4:4" x14ac:dyDescent="0.3">
      <c r="D133">
        <v>37</v>
      </c>
    </row>
    <row r="134" spans="4:4" x14ac:dyDescent="0.3">
      <c r="D134">
        <v>38</v>
      </c>
    </row>
    <row r="135" spans="4:4" x14ac:dyDescent="0.3">
      <c r="D135">
        <v>38</v>
      </c>
    </row>
    <row r="136" spans="4:4" x14ac:dyDescent="0.3">
      <c r="D136">
        <v>38</v>
      </c>
    </row>
    <row r="137" spans="4:4" x14ac:dyDescent="0.3">
      <c r="D137">
        <v>38</v>
      </c>
    </row>
    <row r="138" spans="4:4" x14ac:dyDescent="0.3">
      <c r="D138">
        <v>38</v>
      </c>
    </row>
    <row r="139" spans="4:4" x14ac:dyDescent="0.3">
      <c r="D139">
        <v>38</v>
      </c>
    </row>
    <row r="140" spans="4:4" x14ac:dyDescent="0.3">
      <c r="D140">
        <v>38</v>
      </c>
    </row>
    <row r="141" spans="4:4" x14ac:dyDescent="0.3">
      <c r="D141">
        <v>39</v>
      </c>
    </row>
    <row r="142" spans="4:4" x14ac:dyDescent="0.3">
      <c r="D142">
        <v>39</v>
      </c>
    </row>
    <row r="143" spans="4:4" x14ac:dyDescent="0.3">
      <c r="D143">
        <v>39</v>
      </c>
    </row>
    <row r="144" spans="4:4" x14ac:dyDescent="0.3">
      <c r="D144">
        <v>39</v>
      </c>
    </row>
    <row r="145" spans="4:4" x14ac:dyDescent="0.3">
      <c r="D145">
        <v>39</v>
      </c>
    </row>
    <row r="146" spans="4:4" x14ac:dyDescent="0.3">
      <c r="D146">
        <v>39</v>
      </c>
    </row>
    <row r="147" spans="4:4" x14ac:dyDescent="0.3">
      <c r="D147">
        <v>39</v>
      </c>
    </row>
    <row r="148" spans="4:4" x14ac:dyDescent="0.3">
      <c r="D148">
        <v>39</v>
      </c>
    </row>
    <row r="149" spans="4:4" x14ac:dyDescent="0.3">
      <c r="D149">
        <v>39</v>
      </c>
    </row>
    <row r="150" spans="4:4" x14ac:dyDescent="0.3">
      <c r="D150">
        <v>39</v>
      </c>
    </row>
    <row r="151" spans="4:4" x14ac:dyDescent="0.3">
      <c r="D151">
        <v>39</v>
      </c>
    </row>
    <row r="152" spans="4:4" x14ac:dyDescent="0.3">
      <c r="D152">
        <v>39</v>
      </c>
    </row>
    <row r="153" spans="4:4" x14ac:dyDescent="0.3">
      <c r="D153">
        <v>39</v>
      </c>
    </row>
    <row r="154" spans="4:4" x14ac:dyDescent="0.3">
      <c r="D154">
        <v>39</v>
      </c>
    </row>
    <row r="155" spans="4:4" x14ac:dyDescent="0.3">
      <c r="D155">
        <v>39</v>
      </c>
    </row>
    <row r="156" spans="4:4" x14ac:dyDescent="0.3">
      <c r="D156">
        <v>39</v>
      </c>
    </row>
    <row r="157" spans="4:4" x14ac:dyDescent="0.3">
      <c r="D157">
        <v>40</v>
      </c>
    </row>
    <row r="158" spans="4:4" x14ac:dyDescent="0.3">
      <c r="D158">
        <v>40</v>
      </c>
    </row>
    <row r="159" spans="4:4" x14ac:dyDescent="0.3">
      <c r="D159">
        <v>40</v>
      </c>
    </row>
    <row r="160" spans="4:4" x14ac:dyDescent="0.3">
      <c r="D160">
        <v>40</v>
      </c>
    </row>
    <row r="161" spans="4:4" x14ac:dyDescent="0.3">
      <c r="D161">
        <v>40</v>
      </c>
    </row>
    <row r="162" spans="4:4" x14ac:dyDescent="0.3">
      <c r="D162">
        <v>40</v>
      </c>
    </row>
    <row r="163" spans="4:4" x14ac:dyDescent="0.3">
      <c r="D163">
        <v>40</v>
      </c>
    </row>
    <row r="164" spans="4:4" x14ac:dyDescent="0.3">
      <c r="D164">
        <v>41</v>
      </c>
    </row>
    <row r="165" spans="4:4" x14ac:dyDescent="0.3">
      <c r="D165">
        <v>41</v>
      </c>
    </row>
    <row r="166" spans="4:4" x14ac:dyDescent="0.3">
      <c r="D166">
        <v>41</v>
      </c>
    </row>
    <row r="167" spans="4:4" x14ac:dyDescent="0.3">
      <c r="D167">
        <v>41</v>
      </c>
    </row>
    <row r="168" spans="4:4" x14ac:dyDescent="0.3">
      <c r="D168">
        <v>41</v>
      </c>
    </row>
    <row r="169" spans="4:4" x14ac:dyDescent="0.3">
      <c r="D169">
        <v>41</v>
      </c>
    </row>
    <row r="170" spans="4:4" x14ac:dyDescent="0.3">
      <c r="D170">
        <v>41</v>
      </c>
    </row>
    <row r="171" spans="4:4" x14ac:dyDescent="0.3">
      <c r="D171">
        <v>41</v>
      </c>
    </row>
    <row r="172" spans="4:4" x14ac:dyDescent="0.3">
      <c r="D172">
        <v>42</v>
      </c>
    </row>
    <row r="173" spans="4:4" x14ac:dyDescent="0.3">
      <c r="D173">
        <v>42</v>
      </c>
    </row>
    <row r="174" spans="4:4" x14ac:dyDescent="0.3">
      <c r="D174">
        <v>42</v>
      </c>
    </row>
    <row r="175" spans="4:4" x14ac:dyDescent="0.3">
      <c r="D175">
        <v>42</v>
      </c>
    </row>
    <row r="176" spans="4:4" x14ac:dyDescent="0.3">
      <c r="D176">
        <v>42</v>
      </c>
    </row>
    <row r="177" spans="4:4" x14ac:dyDescent="0.3">
      <c r="D177">
        <v>42</v>
      </c>
    </row>
    <row r="178" spans="4:4" x14ac:dyDescent="0.3">
      <c r="D178">
        <v>42</v>
      </c>
    </row>
    <row r="179" spans="4:4" x14ac:dyDescent="0.3">
      <c r="D179">
        <v>43</v>
      </c>
    </row>
    <row r="180" spans="4:4" x14ac:dyDescent="0.3">
      <c r="D180">
        <v>43</v>
      </c>
    </row>
    <row r="181" spans="4:4" x14ac:dyDescent="0.3">
      <c r="D181">
        <v>43</v>
      </c>
    </row>
    <row r="182" spans="4:4" x14ac:dyDescent="0.3">
      <c r="D182">
        <v>43</v>
      </c>
    </row>
    <row r="183" spans="4:4" x14ac:dyDescent="0.3">
      <c r="D183">
        <v>43</v>
      </c>
    </row>
    <row r="184" spans="4:4" x14ac:dyDescent="0.3">
      <c r="D184">
        <v>43</v>
      </c>
    </row>
    <row r="185" spans="4:4" x14ac:dyDescent="0.3">
      <c r="D185">
        <v>43</v>
      </c>
    </row>
    <row r="186" spans="4:4" x14ac:dyDescent="0.3">
      <c r="D186">
        <v>43</v>
      </c>
    </row>
    <row r="187" spans="4:4" x14ac:dyDescent="0.3">
      <c r="D187">
        <v>44</v>
      </c>
    </row>
    <row r="188" spans="4:4" x14ac:dyDescent="0.3">
      <c r="D188">
        <v>44</v>
      </c>
    </row>
    <row r="189" spans="4:4" x14ac:dyDescent="0.3">
      <c r="D189">
        <v>44</v>
      </c>
    </row>
    <row r="190" spans="4:4" x14ac:dyDescent="0.3">
      <c r="D190">
        <v>44</v>
      </c>
    </row>
    <row r="191" spans="4:4" x14ac:dyDescent="0.3">
      <c r="D191">
        <v>44</v>
      </c>
    </row>
    <row r="192" spans="4:4" x14ac:dyDescent="0.3">
      <c r="D192">
        <v>45</v>
      </c>
    </row>
    <row r="193" spans="4:4" x14ac:dyDescent="0.3">
      <c r="D193">
        <v>45</v>
      </c>
    </row>
    <row r="194" spans="4:4" x14ac:dyDescent="0.3">
      <c r="D194">
        <v>45</v>
      </c>
    </row>
    <row r="195" spans="4:4" x14ac:dyDescent="0.3">
      <c r="D195">
        <v>45</v>
      </c>
    </row>
    <row r="196" spans="4:4" x14ac:dyDescent="0.3">
      <c r="D196">
        <v>45</v>
      </c>
    </row>
    <row r="197" spans="4:4" x14ac:dyDescent="0.3">
      <c r="D197">
        <v>46</v>
      </c>
    </row>
    <row r="198" spans="4:4" x14ac:dyDescent="0.3">
      <c r="D198">
        <v>46</v>
      </c>
    </row>
    <row r="199" spans="4:4" x14ac:dyDescent="0.3">
      <c r="D199">
        <v>46</v>
      </c>
    </row>
    <row r="200" spans="4:4" x14ac:dyDescent="0.3">
      <c r="D200">
        <v>47</v>
      </c>
    </row>
    <row r="201" spans="4:4" x14ac:dyDescent="0.3">
      <c r="D201">
        <v>47</v>
      </c>
    </row>
    <row r="202" spans="4:4" x14ac:dyDescent="0.3">
      <c r="D202">
        <v>47</v>
      </c>
    </row>
    <row r="203" spans="4:4" x14ac:dyDescent="0.3">
      <c r="D203">
        <v>48</v>
      </c>
    </row>
    <row r="204" spans="4:4" x14ac:dyDescent="0.3">
      <c r="D204">
        <v>48</v>
      </c>
    </row>
    <row r="205" spans="4:4" x14ac:dyDescent="0.3">
      <c r="D205">
        <v>48</v>
      </c>
    </row>
    <row r="206" spans="4:4" x14ac:dyDescent="0.3">
      <c r="D206">
        <v>48</v>
      </c>
    </row>
    <row r="207" spans="4:4" x14ac:dyDescent="0.3">
      <c r="D207">
        <v>48</v>
      </c>
    </row>
    <row r="208" spans="4:4" x14ac:dyDescent="0.3">
      <c r="D208">
        <v>49</v>
      </c>
    </row>
    <row r="209" spans="4:4" x14ac:dyDescent="0.3">
      <c r="D209">
        <v>49</v>
      </c>
    </row>
    <row r="210" spans="4:4" x14ac:dyDescent="0.3">
      <c r="D210">
        <v>50</v>
      </c>
    </row>
    <row r="211" spans="4:4" x14ac:dyDescent="0.3">
      <c r="D211">
        <v>50</v>
      </c>
    </row>
    <row r="212" spans="4:4" x14ac:dyDescent="0.3">
      <c r="D212">
        <v>50</v>
      </c>
    </row>
    <row r="213" spans="4:4" x14ac:dyDescent="0.3">
      <c r="D213">
        <v>50</v>
      </c>
    </row>
    <row r="214" spans="4:4" x14ac:dyDescent="0.3">
      <c r="D214">
        <v>50</v>
      </c>
    </row>
    <row r="215" spans="4:4" x14ac:dyDescent="0.3">
      <c r="D215">
        <v>51</v>
      </c>
    </row>
    <row r="216" spans="4:4" x14ac:dyDescent="0.3">
      <c r="D216">
        <v>51</v>
      </c>
    </row>
    <row r="217" spans="4:4" x14ac:dyDescent="0.3">
      <c r="D217">
        <v>51</v>
      </c>
    </row>
    <row r="218" spans="4:4" x14ac:dyDescent="0.3">
      <c r="D218">
        <v>51</v>
      </c>
    </row>
    <row r="219" spans="4:4" x14ac:dyDescent="0.3">
      <c r="D219">
        <v>51</v>
      </c>
    </row>
    <row r="220" spans="4:4" x14ac:dyDescent="0.3">
      <c r="D220">
        <v>52</v>
      </c>
    </row>
    <row r="221" spans="4:4" x14ac:dyDescent="0.3">
      <c r="D221">
        <v>52</v>
      </c>
    </row>
    <row r="222" spans="4:4" x14ac:dyDescent="0.3">
      <c r="D222">
        <v>52</v>
      </c>
    </row>
    <row r="223" spans="4:4" x14ac:dyDescent="0.3">
      <c r="D223">
        <v>52</v>
      </c>
    </row>
    <row r="224" spans="4:4" x14ac:dyDescent="0.3">
      <c r="D224">
        <v>52</v>
      </c>
    </row>
    <row r="225" spans="4:5" x14ac:dyDescent="0.3">
      <c r="D225">
        <v>53</v>
      </c>
    </row>
    <row r="226" spans="4:5" x14ac:dyDescent="0.3">
      <c r="D226">
        <v>53</v>
      </c>
    </row>
    <row r="227" spans="4:5" x14ac:dyDescent="0.3">
      <c r="D227">
        <v>53</v>
      </c>
    </row>
    <row r="228" spans="4:5" x14ac:dyDescent="0.3">
      <c r="D228">
        <v>53</v>
      </c>
    </row>
    <row r="229" spans="4:5" x14ac:dyDescent="0.3">
      <c r="D229">
        <v>53</v>
      </c>
    </row>
    <row r="230" spans="4:5" x14ac:dyDescent="0.3">
      <c r="D230">
        <v>54</v>
      </c>
    </row>
    <row r="231" spans="4:5" x14ac:dyDescent="0.3">
      <c r="D231">
        <v>54</v>
      </c>
    </row>
    <row r="232" spans="4:5" x14ac:dyDescent="0.3">
      <c r="D232">
        <v>54</v>
      </c>
    </row>
    <row r="233" spans="4:5" x14ac:dyDescent="0.3">
      <c r="D233">
        <v>55</v>
      </c>
    </row>
    <row r="234" spans="4:5" x14ac:dyDescent="0.3">
      <c r="D234">
        <v>55</v>
      </c>
    </row>
    <row r="235" spans="4:5" x14ac:dyDescent="0.3">
      <c r="D235">
        <v>55</v>
      </c>
    </row>
    <row r="236" spans="4:5" x14ac:dyDescent="0.3">
      <c r="D236">
        <v>55</v>
      </c>
    </row>
    <row r="237" spans="4:5" x14ac:dyDescent="0.3">
      <c r="D237">
        <v>56</v>
      </c>
      <c r="E237">
        <f>AVERAGE($D237:$D$272)</f>
        <v>58.166666666666664</v>
      </c>
    </row>
    <row r="238" spans="4:5" x14ac:dyDescent="0.3">
      <c r="D238">
        <v>56</v>
      </c>
    </row>
    <row r="239" spans="4:5" x14ac:dyDescent="0.3">
      <c r="D239">
        <v>56</v>
      </c>
    </row>
    <row r="240" spans="4:5" x14ac:dyDescent="0.3">
      <c r="D240">
        <v>56</v>
      </c>
    </row>
    <row r="241" spans="4:4" x14ac:dyDescent="0.3">
      <c r="D241">
        <v>57</v>
      </c>
    </row>
    <row r="242" spans="4:4" x14ac:dyDescent="0.3">
      <c r="D242">
        <v>57</v>
      </c>
    </row>
    <row r="243" spans="4:4" x14ac:dyDescent="0.3">
      <c r="D243">
        <v>57</v>
      </c>
    </row>
    <row r="244" spans="4:4" x14ac:dyDescent="0.3">
      <c r="D244">
        <v>57</v>
      </c>
    </row>
    <row r="245" spans="4:4" x14ac:dyDescent="0.3">
      <c r="D245">
        <v>57</v>
      </c>
    </row>
    <row r="246" spans="4:4" x14ac:dyDescent="0.3">
      <c r="D246">
        <v>57</v>
      </c>
    </row>
    <row r="247" spans="4:4" x14ac:dyDescent="0.3">
      <c r="D247">
        <v>57</v>
      </c>
    </row>
    <row r="248" spans="4:4" x14ac:dyDescent="0.3">
      <c r="D248">
        <v>57</v>
      </c>
    </row>
    <row r="249" spans="4:4" x14ac:dyDescent="0.3">
      <c r="D249">
        <v>58</v>
      </c>
    </row>
    <row r="250" spans="4:4" x14ac:dyDescent="0.3">
      <c r="D250">
        <v>58</v>
      </c>
    </row>
    <row r="251" spans="4:4" x14ac:dyDescent="0.3">
      <c r="D251">
        <v>58</v>
      </c>
    </row>
    <row r="252" spans="4:4" x14ac:dyDescent="0.3">
      <c r="D252">
        <v>58</v>
      </c>
    </row>
    <row r="253" spans="4:4" x14ac:dyDescent="0.3">
      <c r="D253">
        <v>58</v>
      </c>
    </row>
    <row r="254" spans="4:4" x14ac:dyDescent="0.3">
      <c r="D254">
        <v>58</v>
      </c>
    </row>
    <row r="255" spans="4:4" x14ac:dyDescent="0.3">
      <c r="D255">
        <v>58</v>
      </c>
    </row>
    <row r="256" spans="4:4" x14ac:dyDescent="0.3">
      <c r="D256">
        <v>58</v>
      </c>
    </row>
    <row r="257" spans="4:4" x14ac:dyDescent="0.3">
      <c r="D257">
        <v>59</v>
      </c>
    </row>
    <row r="258" spans="4:4" x14ac:dyDescent="0.3">
      <c r="D258">
        <v>59</v>
      </c>
    </row>
    <row r="259" spans="4:4" x14ac:dyDescent="0.3">
      <c r="D259">
        <v>59</v>
      </c>
    </row>
    <row r="260" spans="4:4" x14ac:dyDescent="0.3">
      <c r="D260">
        <v>59</v>
      </c>
    </row>
    <row r="261" spans="4:4" x14ac:dyDescent="0.3">
      <c r="D261">
        <v>59</v>
      </c>
    </row>
    <row r="262" spans="4:4" x14ac:dyDescent="0.3">
      <c r="D262">
        <v>59</v>
      </c>
    </row>
    <row r="263" spans="4:4" x14ac:dyDescent="0.3">
      <c r="D263">
        <v>59</v>
      </c>
    </row>
    <row r="264" spans="4:4" x14ac:dyDescent="0.3">
      <c r="D264">
        <v>59</v>
      </c>
    </row>
    <row r="265" spans="4:4" x14ac:dyDescent="0.3">
      <c r="D265">
        <v>59</v>
      </c>
    </row>
    <row r="266" spans="4:4" x14ac:dyDescent="0.3">
      <c r="D266">
        <v>59</v>
      </c>
    </row>
    <row r="267" spans="4:4" x14ac:dyDescent="0.3">
      <c r="D267">
        <v>60</v>
      </c>
    </row>
    <row r="268" spans="4:4" x14ac:dyDescent="0.3">
      <c r="D268">
        <v>60</v>
      </c>
    </row>
    <row r="269" spans="4:4" x14ac:dyDescent="0.3">
      <c r="D269">
        <v>60</v>
      </c>
    </row>
    <row r="270" spans="4:4" x14ac:dyDescent="0.3">
      <c r="D270">
        <v>60</v>
      </c>
    </row>
    <row r="271" spans="4:4" x14ac:dyDescent="0.3">
      <c r="D271">
        <v>60</v>
      </c>
    </row>
    <row r="272" spans="4:4" x14ac:dyDescent="0.3">
      <c r="D272">
        <v>60</v>
      </c>
    </row>
  </sheetData>
  <sortState xmlns:xlrd2="http://schemas.microsoft.com/office/spreadsheetml/2017/richdata2" ref="F12:F17">
    <sortCondition ref="F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Velamala Roja</cp:lastModifiedBy>
  <dcterms:created xsi:type="dcterms:W3CDTF">2026-06-19T05:05:22Z</dcterms:created>
  <dcterms:modified xsi:type="dcterms:W3CDTF">2026-06-19T06:01:11Z</dcterms:modified>
</cp:coreProperties>
</file>