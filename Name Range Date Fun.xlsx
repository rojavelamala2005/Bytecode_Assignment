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44"/>
  </bookViews>
  <sheets>
    <sheet name="Freezing Techniques" sheetId="8" r:id="rId1"/>
    <sheet name="Name_Range" sheetId="7" r:id="rId2"/>
    <sheet name="Formulas" sheetId="2" r:id="rId3"/>
    <sheet name="Cell Refernce" sheetId="3" r:id="rId4"/>
    <sheet name="copy paste" sheetId="9" r:id="rId5"/>
    <sheet name="Sheet2" sheetId="10" r:id="rId6"/>
    <sheet name="Sheet3" sheetId="11" r:id="rId7"/>
  </sheets>
  <externalReferences>
    <externalReference r:id="rId8"/>
    <externalReference r:id="rId9"/>
    <externalReference r:id="rId10"/>
  </externalReferences>
  <definedNames>
    <definedName name="Category">'[1]Sumifs Data'!$H$5:$H$34</definedName>
    <definedName name="Customer">'[1]Sumifs Data'!$G$5:$G$34</definedName>
    <definedName name="Date">[2]Worksheet!$C$6:$C$205</definedName>
    <definedName name="Date_Data">#REF!</definedName>
    <definedName name="Department">'[3]Count WorkSheet'!$H$14:$H$24</definedName>
    <definedName name="Price_Data">#REF!</definedName>
    <definedName name="Product">'[1]Sumifs Data'!$I$5:$I$34</definedName>
    <definedName name="Region">'[1]Sumifs Data'!$F$5:$F$34</definedName>
    <definedName name="Sales">'[1]Sumifs Data'!$J$5:$J$34</definedName>
    <definedName name="Sales_Data">#REF!</definedName>
    <definedName name="Sales_Rep">'[1]Sumifs Data'!$E$5:$E$34</definedName>
    <definedName name="Sales_Representative">[2]Worksheet!$D$6:$D$205</definedName>
    <definedName name="Target_data">#REF!</definedName>
    <definedName name="Total_Sales">#REF!</definedName>
    <definedName name="Units_Data">#REF!</definedName>
    <definedName name="English">Name_Range!$U$5:$U$12</definedName>
    <definedName name="this_sunny">Sheet2!$D$3</definedName>
    <definedName name="sample">Sheet2!$F$4:$H$6</definedName>
    <definedName name="nani">Sheet2!$D$9</definedName>
    <definedName name="roja">Name_Range!$F$5:$F$14</definedName>
    <definedName name="math">Name_Range!$S$5:$S$12</definedName>
    <definedName name="science">Name_Range!$T$5:$T$12</definedName>
    <definedName name="social">Name_Range!$V$5:$V$12</definedName>
    <definedName name="computer">Name_Range!$W$5:$W$12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<sst xmlns="http://schemas.openxmlformats.org/spreadsheetml/2006/main" count="170" uniqueCount="132">
  <si>
    <t>Bonus Value</t>
  </si>
  <si>
    <t>Relative Reference</t>
  </si>
  <si>
    <t>Absolute Reference</t>
  </si>
  <si>
    <t>Mixed Reference</t>
  </si>
  <si>
    <t>Salaries</t>
  </si>
  <si>
    <t>Bonus Added Value</t>
  </si>
  <si>
    <t>Salaries + BAV</t>
  </si>
  <si>
    <t>Table</t>
  </si>
  <si>
    <t>Name</t>
  </si>
  <si>
    <t>Description</t>
  </si>
  <si>
    <t>Indication</t>
  </si>
  <si>
    <t>No freezing Row or Column</t>
  </si>
  <si>
    <t>=A1</t>
  </si>
  <si>
    <t>Freezing both Row and Column</t>
  </si>
  <si>
    <t>=$A$1</t>
  </si>
  <si>
    <t>Either we will Freeze Row or Column</t>
  </si>
  <si>
    <t>=$A1 or =A$1</t>
  </si>
  <si>
    <t>Func+F4 For Freezing</t>
  </si>
  <si>
    <t>Only F4 for Freezing</t>
  </si>
  <si>
    <t>Date</t>
  </si>
  <si>
    <t>Customer</t>
  </si>
  <si>
    <t>Region</t>
  </si>
  <si>
    <t>Product</t>
  </si>
  <si>
    <t>Sales</t>
  </si>
  <si>
    <t>Quantity</t>
  </si>
  <si>
    <t>A</t>
  </si>
  <si>
    <t>Sum</t>
  </si>
  <si>
    <t>Student_Name</t>
  </si>
  <si>
    <t>Class</t>
  </si>
  <si>
    <t>Math</t>
  </si>
  <si>
    <t>Science</t>
  </si>
  <si>
    <t>English</t>
  </si>
  <si>
    <t>Social</t>
  </si>
  <si>
    <t>Computer</t>
  </si>
  <si>
    <t>Amit</t>
  </si>
  <si>
    <t>North</t>
  </si>
  <si>
    <t>Laptop</t>
  </si>
  <si>
    <t>B</t>
  </si>
  <si>
    <t>Sub</t>
  </si>
  <si>
    <t>10A</t>
  </si>
  <si>
    <t>Pooja</t>
  </si>
  <si>
    <t>Neha</t>
  </si>
  <si>
    <t>South</t>
  </si>
  <si>
    <t>Chair</t>
  </si>
  <si>
    <t>Multi</t>
  </si>
  <si>
    <t>Arjun</t>
  </si>
  <si>
    <t>Rahul</t>
  </si>
  <si>
    <t>West</t>
  </si>
  <si>
    <t>Shirt</t>
  </si>
  <si>
    <t>Div</t>
  </si>
  <si>
    <t>10B</t>
  </si>
  <si>
    <t>English Subject</t>
  </si>
  <si>
    <t>Sneha</t>
  </si>
  <si>
    <t>East</t>
  </si>
  <si>
    <t>Mobile</t>
  </si>
  <si>
    <t>Mod</t>
  </si>
  <si>
    <t>Tablet</t>
  </si>
  <si>
    <t>Kiran</t>
  </si>
  <si>
    <t>Sofa</t>
  </si>
  <si>
    <t>Aggregate Functions</t>
  </si>
  <si>
    <t>Without Name Range</t>
  </si>
  <si>
    <t>With Name Range</t>
  </si>
  <si>
    <t>10C</t>
  </si>
  <si>
    <t>Jeans</t>
  </si>
  <si>
    <t>TV</t>
  </si>
  <si>
    <t>Average</t>
  </si>
  <si>
    <t>Kavya</t>
  </si>
  <si>
    <t>Min</t>
  </si>
  <si>
    <t>Max</t>
  </si>
  <si>
    <t>Count</t>
  </si>
  <si>
    <t>total of math</t>
  </si>
  <si>
    <t>sum of sales</t>
  </si>
  <si>
    <t>total of science</t>
  </si>
  <si>
    <t>average of sales</t>
  </si>
  <si>
    <t>total of english</t>
  </si>
  <si>
    <t>count of sales</t>
  </si>
  <si>
    <t>total of social</t>
  </si>
  <si>
    <t xml:space="preserve">min </t>
  </si>
  <si>
    <t>total of computer</t>
  </si>
  <si>
    <t>max</t>
  </si>
  <si>
    <t>Metric</t>
  </si>
  <si>
    <t>Value</t>
  </si>
  <si>
    <t>Total Sales</t>
  </si>
  <si>
    <t>Target Achievement %</t>
  </si>
  <si>
    <t>Total Units</t>
  </si>
  <si>
    <t>Remaining Target</t>
  </si>
  <si>
    <t>Average Price</t>
  </si>
  <si>
    <t>Remaining Target%</t>
  </si>
  <si>
    <t>Highest Sale</t>
  </si>
  <si>
    <t>Lowest Sale</t>
  </si>
  <si>
    <t>No Of Orders</t>
  </si>
  <si>
    <t>What is Cell Reference?</t>
  </si>
  <si>
    <r>
      <rPr>
        <sz val="11"/>
        <color theme="1"/>
        <rFont val="Calibri"/>
        <charset val="134"/>
        <scheme val="minor"/>
      </rPr>
      <t xml:space="preserve">A </t>
    </r>
    <r>
      <rPr>
        <b/>
        <sz val="11"/>
        <color theme="1"/>
        <rFont val="Calibri"/>
        <charset val="134"/>
        <scheme val="minor"/>
      </rPr>
      <t>cell reference</t>
    </r>
    <r>
      <rPr>
        <sz val="11"/>
        <color theme="1"/>
        <rFont val="Calibri"/>
        <charset val="134"/>
        <scheme val="minor"/>
      </rPr>
      <t xml:space="preserve"> is the address of a cell used in a formula.</t>
    </r>
  </si>
  <si>
    <t>=A1+B1</t>
  </si>
  <si>
    <t>✔ Instead of typing values, we refer to cells</t>
  </si>
  <si>
    <t>✔ Makes formulas dynamic (auto-update)</t>
  </si>
  <si>
    <t>🔹 Why we use Cell References?</t>
  </si>
  <si>
    <t>✔ To avoid manual calculation</t>
  </si>
  <si>
    <t>✔ To update results automatically</t>
  </si>
  <si>
    <t>✔ To build scalable tables &amp; dashboards</t>
  </si>
  <si>
    <t>🔹 Types of Cell References</t>
  </si>
  <si>
    <t>1. Relative Reference (Default)</t>
  </si>
  <si>
    <t>=B2*C2</t>
  </si>
  <si>
    <t>When dragged:</t>
  </si>
  <si>
    <t>B3 * C3</t>
  </si>
  <si>
    <t>✔ Changes automatically</t>
  </si>
  <si>
    <t>B4 * C4</t>
  </si>
  <si>
    <t>✔ Used in row-wise calculations</t>
  </si>
  <si>
    <t>2. Absolute Reference</t>
  </si>
  <si>
    <t>=B2 * $F$1 ($F$1 is fixed)</t>
  </si>
  <si>
    <t>✔ Does NOT change when dragged</t>
  </si>
  <si>
    <t>✔ Used for constants (Tax, Target)</t>
  </si>
  <si>
    <t>3. Mixed Reference</t>
  </si>
  <si>
    <t>=$B2 or B$2</t>
  </si>
  <si>
    <t>✔ Partially fixed</t>
  </si>
  <si>
    <t>✔ Used in advanced calculations</t>
  </si>
  <si>
    <t>Type</t>
  </si>
  <si>
    <t>Changes when dragged?</t>
  </si>
  <si>
    <t>Use Case</t>
  </si>
  <si>
    <t>Relative</t>
  </si>
  <si>
    <t>Yes</t>
  </si>
  <si>
    <t>Row calculations</t>
  </si>
  <si>
    <t>Absolute</t>
  </si>
  <si>
    <t>No</t>
  </si>
  <si>
    <t>Fixed values</t>
  </si>
  <si>
    <t>Mixed</t>
  </si>
  <si>
    <t>Partial</t>
  </si>
  <si>
    <t>Advanced logic</t>
  </si>
  <si>
    <t>This is excel class</t>
  </si>
  <si>
    <t xml:space="preserve"> Alt E S</t>
  </si>
  <si>
    <t>Today is very sunny</t>
  </si>
  <si>
    <t>roja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</si>
</sst>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3" applyFont="1"/>
    <xf numFmtId="0" fontId="1" fillId="3" borderId="1" xfId="0" applyFont="1" applyFill="1" applyBorder="1"/>
    <xf numFmtId="180" fontId="0" fillId="0" borderId="1" xfId="0" applyNumberFormat="1" applyBorder="1"/>
    <xf numFmtId="0" fontId="0" fillId="0" borderId="1" xfId="0" applyBorder="1"/>
    <xf numFmtId="0" fontId="1" fillId="3" borderId="2" xfId="0" applyFont="1" applyFill="1" applyBorder="1"/>
    <xf numFmtId="0" fontId="1" fillId="4" borderId="1" xfId="0" applyFont="1" applyFill="1" applyBorder="1"/>
    <xf numFmtId="9" fontId="0" fillId="0" borderId="0" xfId="0" applyNumberFormat="1"/>
    <xf numFmtId="9" fontId="1" fillId="4" borderId="1" xfId="0" applyNumberFormat="1" applyFont="1" applyFill="1" applyBorder="1"/>
    <xf numFmtId="9" fontId="1" fillId="4" borderId="0" xfId="0" applyNumberFormat="1" applyFont="1" applyFill="1"/>
    <xf numFmtId="9" fontId="1" fillId="0" borderId="1" xfId="0" applyNumberFormat="1" applyFont="1" applyBorder="1"/>
    <xf numFmtId="0" fontId="1" fillId="4" borderId="0" xfId="0" applyFont="1" applyFill="1"/>
    <xf numFmtId="0" fontId="0" fillId="0" borderId="1" xfId="0" applyBorder="1" quotePrefix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220980</xdr:colOff>
      <xdr:row>5</xdr:row>
      <xdr:rowOff>45720</xdr:rowOff>
    </xdr:from>
    <xdr:to>
      <xdr:col>18</xdr:col>
      <xdr:colOff>243840</xdr:colOff>
      <xdr:row>6</xdr:row>
      <xdr:rowOff>60960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13220" y="960120"/>
          <a:ext cx="5509260" cy="19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19</xdr:col>
      <xdr:colOff>22860</xdr:colOff>
      <xdr:row>16</xdr:row>
      <xdr:rowOff>15240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01840" y="2743200"/>
          <a:ext cx="5509260" cy="198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Xtream%20Tech%20Classes\Excel%20Practise%20Files\Apr3rd_Excel11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Xtream%20Tech%20Classes\Others\28th_July_IFS_I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Xtream%20Tech%20Classes\Morning%2011am%20Batch\Day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_Func"/>
      <sheetName val="Text_Func_Assignment"/>
      <sheetName val="Text Notes"/>
      <sheetName val="Types of Errors (2)"/>
      <sheetName val="Text Functions"/>
      <sheetName val="Types of Errors"/>
      <sheetName val="Count WorkSheet"/>
      <sheetName val="Logical Functions"/>
      <sheetName val="Name Range"/>
      <sheetName val="Freezing Techniques"/>
      <sheetName val="Sumifs Data"/>
      <sheetName val="Assignment"/>
      <sheetName val="Dummy 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J5">
            <v>3000</v>
          </cell>
        </row>
        <row r="6">
          <cell r="J6">
            <v>15000</v>
          </cell>
        </row>
        <row r="7">
          <cell r="J7">
            <v>1800</v>
          </cell>
        </row>
        <row r="8">
          <cell r="J8">
            <v>2000</v>
          </cell>
        </row>
        <row r="9">
          <cell r="J9">
            <v>30000</v>
          </cell>
        </row>
        <row r="10">
          <cell r="J10">
            <v>55000</v>
          </cell>
        </row>
        <row r="11">
          <cell r="J11">
            <v>5000</v>
          </cell>
        </row>
        <row r="12">
          <cell r="J12">
            <v>15000</v>
          </cell>
        </row>
        <row r="13">
          <cell r="J13">
            <v>15000</v>
          </cell>
        </row>
        <row r="14">
          <cell r="J14">
            <v>4000</v>
          </cell>
        </row>
        <row r="15">
          <cell r="J15">
            <v>1500</v>
          </cell>
        </row>
        <row r="16">
          <cell r="J16">
            <v>3500</v>
          </cell>
        </row>
        <row r="17">
          <cell r="J17">
            <v>2000</v>
          </cell>
        </row>
        <row r="18">
          <cell r="J18">
            <v>30000</v>
          </cell>
        </row>
        <row r="19">
          <cell r="J19">
            <v>3000</v>
          </cell>
        </row>
        <row r="20">
          <cell r="J20">
            <v>15000</v>
          </cell>
        </row>
        <row r="21">
          <cell r="J21">
            <v>7000</v>
          </cell>
        </row>
        <row r="22">
          <cell r="J22">
            <v>2500</v>
          </cell>
        </row>
        <row r="23">
          <cell r="J23">
            <v>12000</v>
          </cell>
        </row>
        <row r="24">
          <cell r="J24">
            <v>55000</v>
          </cell>
        </row>
        <row r="25">
          <cell r="J25">
            <v>5000</v>
          </cell>
        </row>
        <row r="26">
          <cell r="J26">
            <v>3000</v>
          </cell>
        </row>
        <row r="27">
          <cell r="J27">
            <v>25000</v>
          </cell>
        </row>
        <row r="28">
          <cell r="J28">
            <v>2000</v>
          </cell>
        </row>
        <row r="29">
          <cell r="J29">
            <v>3500</v>
          </cell>
        </row>
        <row r="30">
          <cell r="J30">
            <v>4000</v>
          </cell>
        </row>
        <row r="31">
          <cell r="J31">
            <v>2000</v>
          </cell>
        </row>
        <row r="32">
          <cell r="J32">
            <v>1800</v>
          </cell>
        </row>
        <row r="33">
          <cell r="J33">
            <v>1500</v>
          </cell>
        </row>
        <row r="34">
          <cell r="J34">
            <v>2500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Sheet2"/>
      <sheetName val="Worksheet"/>
      <sheetName val="Sheet3"/>
      <sheetName val="Count WorkShee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f &amp; Ifs Notes"/>
      <sheetName val="Text Functions"/>
      <sheetName val="Sheet3"/>
      <sheetName val="Sheet2"/>
      <sheetName val="Text Notes"/>
      <sheetName val="Count WorkSheet"/>
      <sheetName val="Logical Functions"/>
      <sheetName val="Data types"/>
      <sheetName val="Shorcuts"/>
      <sheetName val="Flash Fill"/>
      <sheetName val="Sheet1"/>
      <sheetName val="Sheet6"/>
      <sheetName val="Flash Series"/>
      <sheetName val="Copy and Paste"/>
      <sheetName val="Condition Formatting"/>
      <sheetName val="Sorting and Filterting"/>
      <sheetName val="Name RAnge"/>
      <sheetName val="Freezing Techniques"/>
      <sheetName val="SUmi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A14"/>
  <sheetViews>
    <sheetView tabSelected="1" topLeftCell="X1" workbookViewId="0">
      <selection activeCell="AL17" sqref="AL17"/>
    </sheetView>
  </sheetViews>
  <sheetFormatPr defaultColWidth="9" defaultRowHeight="14.4"/>
  <cols>
    <col min="2" max="2" width="17.1759259259259" customWidth="1"/>
    <col min="3" max="3" width="31.5462962962963" customWidth="1"/>
    <col min="4" max="4" width="12.2685185185185" customWidth="1"/>
    <col min="7" max="7" width="16.2685185185185" customWidth="1"/>
    <col min="8" max="8" width="17.1759259259259" customWidth="1"/>
    <col min="17" max="17" width="15" customWidth="1"/>
    <col min="21" max="21" width="10.8148148148148" customWidth="1"/>
    <col min="22" max="22" width="10.5462962962963" customWidth="1"/>
    <col min="25" max="25" width="13.2685185185185" customWidth="1"/>
    <col min="26" max="26" width="17.1759259259259" customWidth="1"/>
    <col min="27" max="27" width="12.4537037037037" customWidth="1"/>
    <col min="30" max="30" width="13.6296296296296" customWidth="1"/>
    <col min="36" max="36" width="10.6296296296296" customWidth="1"/>
    <col min="39" max="39" width="18.5462962962963" customWidth="1"/>
    <col min="40" max="40" width="13.3611111111111" customWidth="1"/>
    <col min="41" max="41" width="13.1759259259259" customWidth="1"/>
  </cols>
  <sheetData>
    <row r="2" spans="25:44">
      <c r="Y2" s="12" t="s">
        <v>0</v>
      </c>
      <c r="Z2" s="16">
        <v>0.18</v>
      </c>
      <c r="AR2" s="17">
        <v>20</v>
      </c>
    </row>
    <row r="4" spans="7:53">
      <c r="G4" t="s">
        <v>1</v>
      </c>
      <c r="H4" t="s">
        <v>2</v>
      </c>
      <c r="J4" t="s">
        <v>3</v>
      </c>
      <c r="N4" s="13">
        <v>0.25</v>
      </c>
      <c r="O4" s="12" t="s">
        <v>4</v>
      </c>
      <c r="P4" s="12"/>
      <c r="Q4" s="14">
        <v>0.1</v>
      </c>
      <c r="R4" s="14">
        <v>0.35</v>
      </c>
      <c r="S4" s="15">
        <v>0.25</v>
      </c>
      <c r="T4" s="15"/>
      <c r="Y4" s="12" t="s">
        <v>4</v>
      </c>
      <c r="Z4" s="12" t="s">
        <v>5</v>
      </c>
      <c r="AA4" s="12" t="s">
        <v>6</v>
      </c>
      <c r="AD4" s="12" t="s">
        <v>4</v>
      </c>
      <c r="AE4" s="14">
        <v>0.05</v>
      </c>
      <c r="AF4" s="14">
        <v>0.1</v>
      </c>
      <c r="AG4" s="14">
        <v>0.15</v>
      </c>
      <c r="AI4" s="12" t="s">
        <v>4</v>
      </c>
      <c r="AJ4" s="14">
        <v>0.05</v>
      </c>
      <c r="AK4" s="14">
        <v>0.1</v>
      </c>
      <c r="AL4" s="14">
        <v>0.15</v>
      </c>
      <c r="AQ4" t="s">
        <v>7</v>
      </c>
      <c r="AR4">
        <v>1</v>
      </c>
      <c r="AS4">
        <v>2</v>
      </c>
      <c r="AT4">
        <v>3</v>
      </c>
      <c r="AU4">
        <v>4</v>
      </c>
      <c r="AV4">
        <v>5</v>
      </c>
      <c r="AW4">
        <v>6</v>
      </c>
      <c r="AX4">
        <v>7</v>
      </c>
      <c r="AY4">
        <v>8</v>
      </c>
      <c r="AZ4">
        <v>9</v>
      </c>
      <c r="BA4">
        <v>10</v>
      </c>
    </row>
    <row r="5" spans="2:53">
      <c r="B5" s="12" t="s">
        <v>8</v>
      </c>
      <c r="C5" s="12" t="s">
        <v>9</v>
      </c>
      <c r="D5" s="12" t="s">
        <v>10</v>
      </c>
      <c r="F5">
        <v>5</v>
      </c>
      <c r="G5">
        <v>6</v>
      </c>
      <c r="H5">
        <f>$G$5</f>
        <v>6</v>
      </c>
      <c r="J5">
        <f>F$5</f>
        <v>5</v>
      </c>
      <c r="K5">
        <f>J$5</f>
        <v>5</v>
      </c>
      <c r="L5">
        <f>$F5</f>
        <v>5</v>
      </c>
      <c r="M5">
        <f>$L5</f>
        <v>5</v>
      </c>
      <c r="O5" s="10">
        <v>1000</v>
      </c>
      <c r="P5" s="10">
        <f>O5*10%</f>
        <v>100</v>
      </c>
      <c r="Q5" s="10">
        <f>O5*$Q$4</f>
        <v>100</v>
      </c>
      <c r="R5" s="10">
        <f>O5*$R$4</f>
        <v>350</v>
      </c>
      <c r="S5">
        <f>O5*$S$4</f>
        <v>250</v>
      </c>
      <c r="Y5" s="10">
        <v>1000</v>
      </c>
      <c r="Z5" s="10">
        <f>Y5*$Z$2</f>
        <v>180</v>
      </c>
      <c r="AA5" s="10">
        <f>SUM(Y5,Z5)</f>
        <v>1180</v>
      </c>
      <c r="AD5" s="10">
        <v>1000</v>
      </c>
      <c r="AE5" s="10">
        <f>$AD5*AE$4</f>
        <v>50</v>
      </c>
      <c r="AF5" s="10">
        <f>$AD5*AF$4</f>
        <v>100</v>
      </c>
      <c r="AG5" s="10">
        <f>$AD5*AG$4</f>
        <v>150</v>
      </c>
      <c r="AI5" s="10">
        <v>1000</v>
      </c>
      <c r="AJ5" s="10">
        <f>$AI5*AJ$4</f>
        <v>50</v>
      </c>
      <c r="AK5" s="10">
        <f t="shared" ref="AK5:AL13" si="0">$AI5*AK$4</f>
        <v>100</v>
      </c>
      <c r="AL5" s="10">
        <f t="shared" si="0"/>
        <v>150</v>
      </c>
      <c r="AM5" t="str">
        <f>_xlfn.FORMULATEXT(AJ5)</f>
        <v>=$AI5*AJ$4</v>
      </c>
      <c r="AN5" t="str">
        <f t="shared" ref="AN5:AO13" si="1">_xlfn.FORMULATEXT(AK5)</f>
        <v>=$AI5*AK$4</v>
      </c>
      <c r="AO5" t="str">
        <f t="shared" si="1"/>
        <v>=$AI5*AL$4</v>
      </c>
      <c r="AQ5">
        <v>1</v>
      </c>
      <c r="AR5">
        <f>$AQ5*AR$4+$AR$2</f>
        <v>21</v>
      </c>
      <c r="AS5">
        <f t="shared" ref="AS5:BA14" si="2">$AQ5*AS$4+$AR$2</f>
        <v>22</v>
      </c>
      <c r="AT5">
        <f t="shared" si="2"/>
        <v>23</v>
      </c>
      <c r="AU5">
        <f t="shared" si="2"/>
        <v>24</v>
      </c>
      <c r="AV5">
        <f t="shared" si="2"/>
        <v>25</v>
      </c>
      <c r="AW5">
        <f t="shared" si="2"/>
        <v>26</v>
      </c>
      <c r="AX5">
        <f t="shared" si="2"/>
        <v>27</v>
      </c>
      <c r="AY5">
        <f t="shared" si="2"/>
        <v>28</v>
      </c>
      <c r="AZ5">
        <f t="shared" si="2"/>
        <v>29</v>
      </c>
      <c r="BA5">
        <f t="shared" si="2"/>
        <v>30</v>
      </c>
    </row>
    <row r="6" spans="2:53">
      <c r="B6" s="10" t="s">
        <v>1</v>
      </c>
      <c r="C6" s="10" t="s">
        <v>11</v>
      </c>
      <c r="D6" s="18" t="s">
        <v>12</v>
      </c>
      <c r="G6">
        <v>12</v>
      </c>
      <c r="H6">
        <f>$G$5</f>
        <v>6</v>
      </c>
      <c r="J6">
        <v>6</v>
      </c>
      <c r="K6">
        <f>J$5</f>
        <v>5</v>
      </c>
      <c r="L6">
        <f t="shared" ref="L6:L8" si="3">$F6</f>
        <v>0</v>
      </c>
      <c r="M6">
        <f>$L6</f>
        <v>0</v>
      </c>
      <c r="O6" s="10">
        <v>4000</v>
      </c>
      <c r="P6" s="10">
        <f t="shared" ref="P6:P13" si="4">O6*10%</f>
        <v>400</v>
      </c>
      <c r="Q6" s="10">
        <f t="shared" ref="Q6:Q13" si="5">O6*$Q$4</f>
        <v>400</v>
      </c>
      <c r="R6" s="10">
        <f t="shared" ref="R6:R13" si="6">O6*$R$4</f>
        <v>1400</v>
      </c>
      <c r="S6">
        <f t="shared" ref="S6:S13" si="7">O6*$S$4</f>
        <v>1000</v>
      </c>
      <c r="U6">
        <f>O6*Q5</f>
        <v>400000</v>
      </c>
      <c r="V6" t="str">
        <f>_xlfn.FORMULATEXT(Q6)</f>
        <v>=O6*$Q$4</v>
      </c>
      <c r="Y6" s="10">
        <v>4000</v>
      </c>
      <c r="Z6" s="10">
        <f t="shared" ref="Z6:Z13" si="8">Y6*$Z$2</f>
        <v>720</v>
      </c>
      <c r="AA6" s="10">
        <f t="shared" ref="AA6:AA13" si="9">SUM(Y6,Z6)</f>
        <v>4720</v>
      </c>
      <c r="AD6" s="10">
        <v>4000</v>
      </c>
      <c r="AE6" s="10">
        <f t="shared" ref="AE6:AE13" si="10">$AD6*AE$4</f>
        <v>200</v>
      </c>
      <c r="AF6" s="10">
        <f>$AD6*AF$4</f>
        <v>400</v>
      </c>
      <c r="AG6" s="10">
        <f>$AD6*AG$4</f>
        <v>600</v>
      </c>
      <c r="AI6" s="10">
        <v>4000</v>
      </c>
      <c r="AJ6" s="10">
        <f t="shared" ref="AJ6:AJ13" si="11">$AI6*AJ$4</f>
        <v>200</v>
      </c>
      <c r="AK6" s="10">
        <f t="shared" si="0"/>
        <v>400</v>
      </c>
      <c r="AL6" s="10">
        <f t="shared" si="0"/>
        <v>600</v>
      </c>
      <c r="AM6" t="str">
        <f t="shared" ref="AM6:AM13" si="12">_xlfn.FORMULATEXT(AJ6)</f>
        <v>=$AI6*AJ$4</v>
      </c>
      <c r="AN6" t="str">
        <f t="shared" si="1"/>
        <v>=$AI6*AK$4</v>
      </c>
      <c r="AO6" t="str">
        <f t="shared" si="1"/>
        <v>=$AI6*AL$4</v>
      </c>
      <c r="AQ6">
        <v>2</v>
      </c>
      <c r="AR6">
        <f t="shared" ref="AR6:AR14" si="13">$AQ6*AR$4+$AR$2</f>
        <v>22</v>
      </c>
      <c r="AS6">
        <f t="shared" si="2"/>
        <v>24</v>
      </c>
      <c r="AT6">
        <f t="shared" si="2"/>
        <v>26</v>
      </c>
      <c r="AU6">
        <f t="shared" si="2"/>
        <v>28</v>
      </c>
      <c r="AV6">
        <f t="shared" si="2"/>
        <v>30</v>
      </c>
      <c r="AW6">
        <f t="shared" si="2"/>
        <v>32</v>
      </c>
      <c r="AX6">
        <f t="shared" si="2"/>
        <v>34</v>
      </c>
      <c r="AY6">
        <f t="shared" si="2"/>
        <v>36</v>
      </c>
      <c r="AZ6">
        <f t="shared" si="2"/>
        <v>38</v>
      </c>
      <c r="BA6">
        <f t="shared" si="2"/>
        <v>40</v>
      </c>
    </row>
    <row r="7" spans="2:53">
      <c r="B7" s="10" t="s">
        <v>2</v>
      </c>
      <c r="C7" s="10" t="s">
        <v>13</v>
      </c>
      <c r="D7" s="18" t="s">
        <v>14</v>
      </c>
      <c r="G7">
        <f t="shared" ref="G6:G8" si="14">F7</f>
        <v>0</v>
      </c>
      <c r="H7">
        <f>$G$5</f>
        <v>6</v>
      </c>
      <c r="J7">
        <f t="shared" ref="J6:J8" si="15">F$5</f>
        <v>5</v>
      </c>
      <c r="K7">
        <f>J$5</f>
        <v>5</v>
      </c>
      <c r="L7">
        <f t="shared" si="3"/>
        <v>0</v>
      </c>
      <c r="M7">
        <f>$L7</f>
        <v>0</v>
      </c>
      <c r="O7" s="10">
        <v>5000</v>
      </c>
      <c r="P7" s="10">
        <f t="shared" si="4"/>
        <v>500</v>
      </c>
      <c r="Q7" s="10">
        <f t="shared" si="5"/>
        <v>500</v>
      </c>
      <c r="R7" s="10">
        <f t="shared" si="6"/>
        <v>1750</v>
      </c>
      <c r="S7">
        <f t="shared" si="7"/>
        <v>1250</v>
      </c>
      <c r="U7">
        <f>O7*Q6</f>
        <v>2000000</v>
      </c>
      <c r="V7" t="str">
        <f t="shared" ref="V7:V13" si="16">_xlfn.FORMULATEXT(Q7)</f>
        <v>=O7*$Q$4</v>
      </c>
      <c r="Y7" s="10">
        <v>5000</v>
      </c>
      <c r="Z7" s="10">
        <f t="shared" si="8"/>
        <v>900</v>
      </c>
      <c r="AA7" s="10">
        <f t="shared" si="9"/>
        <v>5900</v>
      </c>
      <c r="AD7" s="10">
        <v>5000</v>
      </c>
      <c r="AE7" s="10">
        <f t="shared" si="10"/>
        <v>250</v>
      </c>
      <c r="AF7" s="10">
        <f>$AD7*AF$4</f>
        <v>500</v>
      </c>
      <c r="AG7" s="10">
        <f>$AD7*AG$4</f>
        <v>750</v>
      </c>
      <c r="AI7" s="10">
        <v>5000</v>
      </c>
      <c r="AJ7" s="10">
        <f t="shared" si="11"/>
        <v>250</v>
      </c>
      <c r="AK7" s="10">
        <f t="shared" si="0"/>
        <v>500</v>
      </c>
      <c r="AL7" s="10">
        <f t="shared" si="0"/>
        <v>750</v>
      </c>
      <c r="AM7" t="str">
        <f t="shared" si="12"/>
        <v>=$AI7*AJ$4</v>
      </c>
      <c r="AN7" t="str">
        <f t="shared" si="1"/>
        <v>=$AI7*AK$4</v>
      </c>
      <c r="AO7" t="str">
        <f t="shared" si="1"/>
        <v>=$AI7*AL$4</v>
      </c>
      <c r="AQ7">
        <v>3</v>
      </c>
      <c r="AR7">
        <f t="shared" si="13"/>
        <v>23</v>
      </c>
      <c r="AS7">
        <f t="shared" si="2"/>
        <v>26</v>
      </c>
      <c r="AT7">
        <f t="shared" si="2"/>
        <v>29</v>
      </c>
      <c r="AU7">
        <f t="shared" si="2"/>
        <v>32</v>
      </c>
      <c r="AV7">
        <f t="shared" si="2"/>
        <v>35</v>
      </c>
      <c r="AW7">
        <f t="shared" si="2"/>
        <v>38</v>
      </c>
      <c r="AX7">
        <f t="shared" si="2"/>
        <v>41</v>
      </c>
      <c r="AY7">
        <f t="shared" si="2"/>
        <v>44</v>
      </c>
      <c r="AZ7">
        <f t="shared" si="2"/>
        <v>47</v>
      </c>
      <c r="BA7">
        <f t="shared" si="2"/>
        <v>50</v>
      </c>
    </row>
    <row r="8" spans="2:53">
      <c r="B8" s="10" t="s">
        <v>3</v>
      </c>
      <c r="C8" s="10" t="s">
        <v>15</v>
      </c>
      <c r="D8" s="18" t="s">
        <v>16</v>
      </c>
      <c r="G8">
        <f t="shared" si="14"/>
        <v>0</v>
      </c>
      <c r="H8">
        <f>$G$5</f>
        <v>6</v>
      </c>
      <c r="J8">
        <f t="shared" si="15"/>
        <v>5</v>
      </c>
      <c r="K8">
        <f>J$5</f>
        <v>5</v>
      </c>
      <c r="L8">
        <f t="shared" si="3"/>
        <v>0</v>
      </c>
      <c r="M8">
        <f>$L8</f>
        <v>0</v>
      </c>
      <c r="O8" s="10">
        <v>6000</v>
      </c>
      <c r="P8" s="10">
        <f t="shared" si="4"/>
        <v>600</v>
      </c>
      <c r="Q8" s="10">
        <f t="shared" si="5"/>
        <v>600</v>
      </c>
      <c r="R8" s="10">
        <f t="shared" si="6"/>
        <v>2100</v>
      </c>
      <c r="S8">
        <f t="shared" si="7"/>
        <v>1500</v>
      </c>
      <c r="V8" t="str">
        <f t="shared" si="16"/>
        <v>=O8*$Q$4</v>
      </c>
      <c r="Y8" s="10">
        <v>6000</v>
      </c>
      <c r="Z8" s="10">
        <f t="shared" si="8"/>
        <v>1080</v>
      </c>
      <c r="AA8" s="10">
        <f t="shared" si="9"/>
        <v>7080</v>
      </c>
      <c r="AD8" s="10">
        <v>6000</v>
      </c>
      <c r="AE8" s="10">
        <f t="shared" si="10"/>
        <v>300</v>
      </c>
      <c r="AF8" s="10">
        <f>$AD8*AF$4</f>
        <v>600</v>
      </c>
      <c r="AG8" s="10">
        <f>$AD8*AG$4</f>
        <v>900</v>
      </c>
      <c r="AI8" s="10">
        <v>6000</v>
      </c>
      <c r="AJ8" s="10">
        <f t="shared" si="11"/>
        <v>300</v>
      </c>
      <c r="AK8" s="10">
        <f t="shared" si="0"/>
        <v>600</v>
      </c>
      <c r="AL8" s="10">
        <f t="shared" si="0"/>
        <v>900</v>
      </c>
      <c r="AM8" t="str">
        <f t="shared" si="12"/>
        <v>=$AI8*AJ$4</v>
      </c>
      <c r="AN8" t="str">
        <f t="shared" si="1"/>
        <v>=$AI8*AK$4</v>
      </c>
      <c r="AO8" t="str">
        <f t="shared" si="1"/>
        <v>=$AI8*AL$4</v>
      </c>
      <c r="AQ8">
        <v>4</v>
      </c>
      <c r="AR8">
        <f t="shared" si="13"/>
        <v>24</v>
      </c>
      <c r="AS8">
        <f t="shared" si="2"/>
        <v>28</v>
      </c>
      <c r="AT8">
        <f t="shared" si="2"/>
        <v>32</v>
      </c>
      <c r="AU8">
        <f t="shared" si="2"/>
        <v>36</v>
      </c>
      <c r="AV8">
        <f t="shared" si="2"/>
        <v>40</v>
      </c>
      <c r="AW8">
        <f t="shared" si="2"/>
        <v>44</v>
      </c>
      <c r="AX8">
        <f t="shared" si="2"/>
        <v>48</v>
      </c>
      <c r="AY8">
        <f t="shared" si="2"/>
        <v>52</v>
      </c>
      <c r="AZ8">
        <f t="shared" si="2"/>
        <v>56</v>
      </c>
      <c r="BA8">
        <f t="shared" si="2"/>
        <v>60</v>
      </c>
    </row>
    <row r="9" spans="15:53">
      <c r="O9" s="10">
        <v>7000</v>
      </c>
      <c r="P9" s="10">
        <f t="shared" si="4"/>
        <v>700</v>
      </c>
      <c r="Q9" s="10">
        <f t="shared" si="5"/>
        <v>700</v>
      </c>
      <c r="R9" s="10">
        <f t="shared" si="6"/>
        <v>2450</v>
      </c>
      <c r="S9">
        <f t="shared" si="7"/>
        <v>1750</v>
      </c>
      <c r="V9" t="str">
        <f t="shared" si="16"/>
        <v>=O9*$Q$4</v>
      </c>
      <c r="Y9" s="10">
        <v>7000</v>
      </c>
      <c r="Z9" s="10">
        <f t="shared" si="8"/>
        <v>1260</v>
      </c>
      <c r="AA9" s="10">
        <f t="shared" si="9"/>
        <v>8260</v>
      </c>
      <c r="AD9" s="10">
        <v>7000</v>
      </c>
      <c r="AE9" s="10">
        <f t="shared" si="10"/>
        <v>350</v>
      </c>
      <c r="AF9" s="10">
        <f>$AD9*AF$4</f>
        <v>700</v>
      </c>
      <c r="AG9" s="10">
        <f>$AD9*AG$4</f>
        <v>1050</v>
      </c>
      <c r="AI9" s="10">
        <v>7000</v>
      </c>
      <c r="AJ9" s="10">
        <f t="shared" si="11"/>
        <v>350</v>
      </c>
      <c r="AK9" s="10">
        <f t="shared" si="0"/>
        <v>700</v>
      </c>
      <c r="AL9" s="10">
        <f t="shared" si="0"/>
        <v>1050</v>
      </c>
      <c r="AM9" t="str">
        <f t="shared" si="12"/>
        <v>=$AI9*AJ$4</v>
      </c>
      <c r="AN9" t="str">
        <f t="shared" si="1"/>
        <v>=$AI9*AK$4</v>
      </c>
      <c r="AO9" t="str">
        <f t="shared" si="1"/>
        <v>=$AI9*AL$4</v>
      </c>
      <c r="AQ9">
        <v>5</v>
      </c>
      <c r="AR9">
        <f t="shared" si="13"/>
        <v>25</v>
      </c>
      <c r="AS9">
        <f t="shared" si="2"/>
        <v>30</v>
      </c>
      <c r="AT9">
        <f t="shared" si="2"/>
        <v>35</v>
      </c>
      <c r="AU9">
        <f t="shared" si="2"/>
        <v>40</v>
      </c>
      <c r="AV9">
        <f t="shared" si="2"/>
        <v>45</v>
      </c>
      <c r="AW9">
        <f t="shared" si="2"/>
        <v>50</v>
      </c>
      <c r="AX9">
        <f t="shared" si="2"/>
        <v>55</v>
      </c>
      <c r="AY9">
        <f t="shared" si="2"/>
        <v>60</v>
      </c>
      <c r="AZ9">
        <f t="shared" si="2"/>
        <v>65</v>
      </c>
      <c r="BA9">
        <f t="shared" si="2"/>
        <v>70</v>
      </c>
    </row>
    <row r="10" spans="2:53">
      <c r="B10" t="s">
        <v>17</v>
      </c>
      <c r="O10" s="10">
        <v>8000</v>
      </c>
      <c r="P10" s="10">
        <f t="shared" si="4"/>
        <v>800</v>
      </c>
      <c r="Q10" s="10">
        <f t="shared" si="5"/>
        <v>800</v>
      </c>
      <c r="R10" s="10">
        <f t="shared" si="6"/>
        <v>2800</v>
      </c>
      <c r="S10">
        <f t="shared" si="7"/>
        <v>2000</v>
      </c>
      <c r="V10" t="str">
        <f t="shared" si="16"/>
        <v>=O10*$Q$4</v>
      </c>
      <c r="Y10" s="10">
        <v>8000</v>
      </c>
      <c r="Z10" s="10">
        <f t="shared" si="8"/>
        <v>1440</v>
      </c>
      <c r="AA10" s="10">
        <f t="shared" si="9"/>
        <v>9440</v>
      </c>
      <c r="AD10" s="10">
        <v>8000</v>
      </c>
      <c r="AE10" s="10">
        <f t="shared" si="10"/>
        <v>400</v>
      </c>
      <c r="AF10" s="10">
        <f>$AD10*AF$4</f>
        <v>800</v>
      </c>
      <c r="AG10" s="10">
        <f>$AD10*AG$4</f>
        <v>1200</v>
      </c>
      <c r="AI10" s="10">
        <v>8000</v>
      </c>
      <c r="AJ10" s="10">
        <f t="shared" si="11"/>
        <v>400</v>
      </c>
      <c r="AK10" s="10">
        <f t="shared" si="0"/>
        <v>800</v>
      </c>
      <c r="AL10" s="10">
        <f t="shared" si="0"/>
        <v>1200</v>
      </c>
      <c r="AM10" t="str">
        <f t="shared" si="12"/>
        <v>=$AI10*AJ$4</v>
      </c>
      <c r="AN10" t="str">
        <f t="shared" si="1"/>
        <v>=$AI10*AK$4</v>
      </c>
      <c r="AO10" t="str">
        <f t="shared" si="1"/>
        <v>=$AI10*AL$4</v>
      </c>
      <c r="AQ10">
        <v>6</v>
      </c>
      <c r="AR10">
        <f t="shared" si="13"/>
        <v>26</v>
      </c>
      <c r="AS10">
        <f t="shared" si="2"/>
        <v>32</v>
      </c>
      <c r="AT10">
        <f t="shared" si="2"/>
        <v>38</v>
      </c>
      <c r="AU10">
        <f t="shared" si="2"/>
        <v>44</v>
      </c>
      <c r="AV10">
        <f t="shared" si="2"/>
        <v>50</v>
      </c>
      <c r="AW10">
        <f t="shared" si="2"/>
        <v>56</v>
      </c>
      <c r="AX10">
        <f t="shared" si="2"/>
        <v>62</v>
      </c>
      <c r="AY10">
        <f t="shared" si="2"/>
        <v>68</v>
      </c>
      <c r="AZ10">
        <f t="shared" si="2"/>
        <v>74</v>
      </c>
      <c r="BA10">
        <f t="shared" si="2"/>
        <v>80</v>
      </c>
    </row>
    <row r="11" spans="2:53">
      <c r="B11" t="s">
        <v>18</v>
      </c>
      <c r="O11" s="10">
        <v>900</v>
      </c>
      <c r="P11" s="10">
        <f t="shared" si="4"/>
        <v>90</v>
      </c>
      <c r="Q11" s="10">
        <f t="shared" si="5"/>
        <v>90</v>
      </c>
      <c r="R11" s="10">
        <f t="shared" si="6"/>
        <v>315</v>
      </c>
      <c r="S11">
        <f t="shared" si="7"/>
        <v>225</v>
      </c>
      <c r="V11" t="str">
        <f t="shared" si="16"/>
        <v>=O11*$Q$4</v>
      </c>
      <c r="Y11" s="10">
        <v>900</v>
      </c>
      <c r="Z11" s="10">
        <f t="shared" si="8"/>
        <v>162</v>
      </c>
      <c r="AA11" s="10">
        <f t="shared" si="9"/>
        <v>1062</v>
      </c>
      <c r="AD11" s="10">
        <v>900</v>
      </c>
      <c r="AE11" s="10">
        <f t="shared" si="10"/>
        <v>45</v>
      </c>
      <c r="AF11" s="10">
        <f>$AD11*AF$4</f>
        <v>90</v>
      </c>
      <c r="AG11" s="10">
        <f>$AD11*AG$4</f>
        <v>135</v>
      </c>
      <c r="AI11" s="10">
        <v>900</v>
      </c>
      <c r="AJ11" s="10">
        <f t="shared" si="11"/>
        <v>45</v>
      </c>
      <c r="AK11" s="10">
        <f t="shared" si="0"/>
        <v>90</v>
      </c>
      <c r="AL11" s="10">
        <f t="shared" si="0"/>
        <v>135</v>
      </c>
      <c r="AM11" t="str">
        <f t="shared" si="12"/>
        <v>=$AI11*AJ$4</v>
      </c>
      <c r="AN11" t="str">
        <f t="shared" si="1"/>
        <v>=$AI11*AK$4</v>
      </c>
      <c r="AO11" t="str">
        <f t="shared" si="1"/>
        <v>=$AI11*AL$4</v>
      </c>
      <c r="AQ11">
        <v>7</v>
      </c>
      <c r="AR11">
        <f t="shared" si="13"/>
        <v>27</v>
      </c>
      <c r="AS11">
        <f t="shared" si="2"/>
        <v>34</v>
      </c>
      <c r="AT11">
        <f t="shared" si="2"/>
        <v>41</v>
      </c>
      <c r="AU11">
        <f t="shared" si="2"/>
        <v>48</v>
      </c>
      <c r="AV11">
        <f t="shared" si="2"/>
        <v>55</v>
      </c>
      <c r="AW11">
        <f t="shared" si="2"/>
        <v>62</v>
      </c>
      <c r="AX11">
        <f t="shared" si="2"/>
        <v>69</v>
      </c>
      <c r="AY11">
        <f t="shared" si="2"/>
        <v>76</v>
      </c>
      <c r="AZ11">
        <f t="shared" si="2"/>
        <v>83</v>
      </c>
      <c r="BA11">
        <f t="shared" si="2"/>
        <v>90</v>
      </c>
    </row>
    <row r="12" spans="15:53">
      <c r="O12" s="10">
        <v>2500</v>
      </c>
      <c r="P12" s="10">
        <f t="shared" si="4"/>
        <v>250</v>
      </c>
      <c r="Q12" s="10">
        <f t="shared" si="5"/>
        <v>250</v>
      </c>
      <c r="R12" s="10">
        <f t="shared" si="6"/>
        <v>875</v>
      </c>
      <c r="S12">
        <f t="shared" si="7"/>
        <v>625</v>
      </c>
      <c r="V12" t="str">
        <f t="shared" si="16"/>
        <v>=O12*$Q$4</v>
      </c>
      <c r="Y12" s="10">
        <v>2500</v>
      </c>
      <c r="Z12" s="10">
        <f t="shared" si="8"/>
        <v>450</v>
      </c>
      <c r="AA12" s="10">
        <f t="shared" si="9"/>
        <v>2950</v>
      </c>
      <c r="AD12" s="10">
        <v>2500</v>
      </c>
      <c r="AE12" s="10">
        <f t="shared" si="10"/>
        <v>125</v>
      </c>
      <c r="AF12" s="10">
        <f>$AD12*AF$4</f>
        <v>250</v>
      </c>
      <c r="AG12" s="10">
        <f>$AD12*AG$4</f>
        <v>375</v>
      </c>
      <c r="AI12" s="10">
        <v>2500</v>
      </c>
      <c r="AJ12" s="10">
        <f t="shared" si="11"/>
        <v>125</v>
      </c>
      <c r="AK12" s="10">
        <f t="shared" si="0"/>
        <v>250</v>
      </c>
      <c r="AL12" s="10">
        <f t="shared" si="0"/>
        <v>375</v>
      </c>
      <c r="AM12" t="str">
        <f t="shared" si="12"/>
        <v>=$AI12*AJ$4</v>
      </c>
      <c r="AN12" t="str">
        <f t="shared" si="1"/>
        <v>=$AI12*AK$4</v>
      </c>
      <c r="AO12" t="str">
        <f t="shared" si="1"/>
        <v>=$AI12*AL$4</v>
      </c>
      <c r="AQ12">
        <v>8</v>
      </c>
      <c r="AR12">
        <f t="shared" si="13"/>
        <v>28</v>
      </c>
      <c r="AS12">
        <f t="shared" si="2"/>
        <v>36</v>
      </c>
      <c r="AT12">
        <f t="shared" si="2"/>
        <v>44</v>
      </c>
      <c r="AU12">
        <f t="shared" si="2"/>
        <v>52</v>
      </c>
      <c r="AV12">
        <f t="shared" si="2"/>
        <v>60</v>
      </c>
      <c r="AW12">
        <f t="shared" si="2"/>
        <v>68</v>
      </c>
      <c r="AX12">
        <f t="shared" si="2"/>
        <v>76</v>
      </c>
      <c r="AY12">
        <f t="shared" si="2"/>
        <v>84</v>
      </c>
      <c r="AZ12">
        <f t="shared" si="2"/>
        <v>92</v>
      </c>
      <c r="BA12">
        <f t="shared" si="2"/>
        <v>100</v>
      </c>
    </row>
    <row r="13" spans="15:53">
      <c r="O13" s="10">
        <v>4500</v>
      </c>
      <c r="P13" s="10">
        <f t="shared" si="4"/>
        <v>450</v>
      </c>
      <c r="Q13" s="10">
        <f t="shared" si="5"/>
        <v>450</v>
      </c>
      <c r="R13" s="10">
        <f t="shared" si="6"/>
        <v>1575</v>
      </c>
      <c r="S13">
        <f t="shared" si="7"/>
        <v>1125</v>
      </c>
      <c r="V13" t="str">
        <f t="shared" si="16"/>
        <v>=O13*$Q$4</v>
      </c>
      <c r="Y13" s="10">
        <v>4500</v>
      </c>
      <c r="Z13" s="10">
        <f t="shared" si="8"/>
        <v>810</v>
      </c>
      <c r="AA13" s="10">
        <f t="shared" si="9"/>
        <v>5310</v>
      </c>
      <c r="AD13" s="10">
        <v>4500</v>
      </c>
      <c r="AE13" s="10">
        <f t="shared" si="10"/>
        <v>225</v>
      </c>
      <c r="AF13" s="10">
        <f>$AD13*AF$4</f>
        <v>450</v>
      </c>
      <c r="AG13" s="10">
        <f>$AD13*AG$4</f>
        <v>675</v>
      </c>
      <c r="AI13" s="10">
        <v>4500</v>
      </c>
      <c r="AJ13" s="10">
        <f t="shared" si="11"/>
        <v>225</v>
      </c>
      <c r="AK13" s="10">
        <f t="shared" si="0"/>
        <v>450</v>
      </c>
      <c r="AL13" s="10">
        <f t="shared" si="0"/>
        <v>675</v>
      </c>
      <c r="AM13" t="str">
        <f t="shared" si="12"/>
        <v>=$AI13*AJ$4</v>
      </c>
      <c r="AN13" t="str">
        <f t="shared" si="1"/>
        <v>=$AI13*AK$4</v>
      </c>
      <c r="AO13" t="str">
        <f t="shared" si="1"/>
        <v>=$AI13*AL$4</v>
      </c>
      <c r="AQ13">
        <v>9</v>
      </c>
      <c r="AR13">
        <f t="shared" si="13"/>
        <v>29</v>
      </c>
      <c r="AS13">
        <f t="shared" si="2"/>
        <v>38</v>
      </c>
      <c r="AT13">
        <f t="shared" si="2"/>
        <v>47</v>
      </c>
      <c r="AU13">
        <f t="shared" si="2"/>
        <v>56</v>
      </c>
      <c r="AV13">
        <f t="shared" si="2"/>
        <v>65</v>
      </c>
      <c r="AW13">
        <f t="shared" si="2"/>
        <v>74</v>
      </c>
      <c r="AX13">
        <f t="shared" si="2"/>
        <v>83</v>
      </c>
      <c r="AY13">
        <f t="shared" si="2"/>
        <v>92</v>
      </c>
      <c r="AZ13">
        <f t="shared" si="2"/>
        <v>101</v>
      </c>
      <c r="BA13">
        <f t="shared" si="2"/>
        <v>110</v>
      </c>
    </row>
    <row r="14" spans="43:53">
      <c r="AQ14">
        <v>10</v>
      </c>
      <c r="AR14">
        <f t="shared" si="13"/>
        <v>30</v>
      </c>
      <c r="AS14">
        <f t="shared" si="2"/>
        <v>40</v>
      </c>
      <c r="AT14">
        <f t="shared" si="2"/>
        <v>50</v>
      </c>
      <c r="AU14">
        <f t="shared" si="2"/>
        <v>60</v>
      </c>
      <c r="AV14">
        <f t="shared" si="2"/>
        <v>70</v>
      </c>
      <c r="AW14">
        <f t="shared" si="2"/>
        <v>80</v>
      </c>
      <c r="AX14">
        <f t="shared" si="2"/>
        <v>90</v>
      </c>
      <c r="AY14">
        <f t="shared" si="2"/>
        <v>100</v>
      </c>
      <c r="AZ14">
        <f t="shared" si="2"/>
        <v>110</v>
      </c>
      <c r="BA14">
        <f t="shared" si="2"/>
        <v>120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Z22"/>
  <sheetViews>
    <sheetView topLeftCell="F1" workbookViewId="0">
      <selection activeCell="T18" sqref="T18"/>
    </sheetView>
  </sheetViews>
  <sheetFormatPr defaultColWidth="9" defaultRowHeight="14.4"/>
  <cols>
    <col min="2" max="2" width="10.0925925925926" customWidth="1"/>
    <col min="5" max="5" width="15.4444444444444" customWidth="1"/>
    <col min="12" max="12" width="20.4537037037037" customWidth="1"/>
    <col min="17" max="17" width="17.4444444444444" customWidth="1"/>
    <col min="18" max="18" width="8.81481481481481" customWidth="1"/>
    <col min="19" max="19" width="8.36111111111111" customWidth="1"/>
    <col min="20" max="20" width="8.72222222222222" customWidth="1"/>
    <col min="21" max="21" width="8.4537037037037" customWidth="1"/>
    <col min="22" max="22" width="8.17592592592593" customWidth="1"/>
    <col min="23" max="23" width="9.26851851851852" customWidth="1"/>
  </cols>
  <sheetData>
    <row r="4" spans="2:23"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I4" s="11" t="s">
        <v>25</v>
      </c>
      <c r="J4">
        <v>30</v>
      </c>
      <c r="L4" s="10" t="s">
        <v>26</v>
      </c>
      <c r="M4" s="10">
        <f>J4+J5</f>
        <v>90</v>
      </c>
      <c r="N4">
        <f>SUM(J4:J5)</f>
        <v>90</v>
      </c>
      <c r="Q4" s="8" t="s">
        <v>27</v>
      </c>
      <c r="R4" s="8" t="s">
        <v>28</v>
      </c>
      <c r="S4" s="8" t="s">
        <v>29</v>
      </c>
      <c r="T4" s="8" t="s">
        <v>30</v>
      </c>
      <c r="U4" s="8" t="s">
        <v>31</v>
      </c>
      <c r="V4" s="8" t="s">
        <v>32</v>
      </c>
      <c r="W4" s="8" t="s">
        <v>33</v>
      </c>
    </row>
    <row r="5" spans="2:26">
      <c r="B5" s="9">
        <v>44927</v>
      </c>
      <c r="C5" s="10" t="s">
        <v>34</v>
      </c>
      <c r="D5" s="10" t="s">
        <v>35</v>
      </c>
      <c r="E5" s="10" t="s">
        <v>36</v>
      </c>
      <c r="F5" s="10">
        <v>50000</v>
      </c>
      <c r="G5" s="10">
        <v>2</v>
      </c>
      <c r="I5" t="s">
        <v>37</v>
      </c>
      <c r="J5">
        <v>60</v>
      </c>
      <c r="L5" s="10" t="s">
        <v>38</v>
      </c>
      <c r="M5" s="10">
        <f>J4-J5</f>
        <v>-30</v>
      </c>
      <c r="Q5" s="10" t="s">
        <v>34</v>
      </c>
      <c r="R5" s="10" t="s">
        <v>39</v>
      </c>
      <c r="S5" s="10">
        <v>85</v>
      </c>
      <c r="T5" s="10">
        <v>78</v>
      </c>
      <c r="U5" s="10">
        <v>88</v>
      </c>
      <c r="V5" s="10">
        <v>74</v>
      </c>
      <c r="W5" s="10">
        <v>90</v>
      </c>
      <c r="Y5" t="e">
        <f>SUM(Pooja)</f>
        <v>#NAME?</v>
      </c>
      <c r="Z5" t="s">
        <v>40</v>
      </c>
    </row>
    <row r="6" spans="2:26">
      <c r="B6" s="9">
        <v>44929</v>
      </c>
      <c r="C6" s="10" t="s">
        <v>41</v>
      </c>
      <c r="D6" s="10" t="s">
        <v>42</v>
      </c>
      <c r="E6" s="10" t="s">
        <v>43</v>
      </c>
      <c r="F6" s="10">
        <v>8000</v>
      </c>
      <c r="G6" s="10">
        <v>4</v>
      </c>
      <c r="L6" s="10" t="s">
        <v>44</v>
      </c>
      <c r="M6" s="10">
        <f>J4*J5</f>
        <v>1800</v>
      </c>
      <c r="Q6" s="10" t="s">
        <v>41</v>
      </c>
      <c r="R6" s="10" t="s">
        <v>39</v>
      </c>
      <c r="S6" s="10">
        <v>92</v>
      </c>
      <c r="T6" s="10">
        <v>81</v>
      </c>
      <c r="U6" s="10">
        <v>79</v>
      </c>
      <c r="V6" s="10">
        <v>85</v>
      </c>
      <c r="W6" s="10">
        <v>95</v>
      </c>
      <c r="Y6" t="s">
        <v>45</v>
      </c>
      <c r="Z6" t="e">
        <f>SUM(Arjun)</f>
        <v>#NAME?</v>
      </c>
    </row>
    <row r="7" spans="2:26">
      <c r="B7" s="9">
        <v>44931</v>
      </c>
      <c r="C7" s="10" t="s">
        <v>46</v>
      </c>
      <c r="D7" s="10" t="s">
        <v>47</v>
      </c>
      <c r="E7" s="10" t="s">
        <v>48</v>
      </c>
      <c r="F7" s="10">
        <v>2000</v>
      </c>
      <c r="G7" s="10">
        <v>5</v>
      </c>
      <c r="L7" s="10" t="s">
        <v>49</v>
      </c>
      <c r="M7" s="10">
        <f>J4/J5</f>
        <v>0.5</v>
      </c>
      <c r="Q7" s="10" t="s">
        <v>46</v>
      </c>
      <c r="R7" s="10" t="s">
        <v>50</v>
      </c>
      <c r="S7" s="10">
        <v>76</v>
      </c>
      <c r="T7" s="10">
        <v>69</v>
      </c>
      <c r="U7" s="10">
        <v>72</v>
      </c>
      <c r="V7" s="10">
        <v>70</v>
      </c>
      <c r="W7" s="10">
        <v>68</v>
      </c>
      <c r="Y7" t="s">
        <v>51</v>
      </c>
      <c r="Z7">
        <f>SUM(English)</f>
        <v>661</v>
      </c>
    </row>
    <row r="8" spans="2:23">
      <c r="B8" s="9">
        <v>44936</v>
      </c>
      <c r="C8" s="10" t="s">
        <v>52</v>
      </c>
      <c r="D8" s="10" t="s">
        <v>53</v>
      </c>
      <c r="E8" s="10" t="s">
        <v>54</v>
      </c>
      <c r="F8" s="10">
        <v>20000</v>
      </c>
      <c r="G8" s="10">
        <v>3</v>
      </c>
      <c r="L8" s="10" t="s">
        <v>55</v>
      </c>
      <c r="M8" s="10">
        <f>J4%</f>
        <v>0.3</v>
      </c>
      <c r="Q8" s="10" t="s">
        <v>52</v>
      </c>
      <c r="R8" s="10" t="s">
        <v>50</v>
      </c>
      <c r="S8" s="10">
        <v>88</v>
      </c>
      <c r="T8" s="10">
        <v>90</v>
      </c>
      <c r="U8" s="10">
        <v>91</v>
      </c>
      <c r="V8" s="10">
        <v>87</v>
      </c>
      <c r="W8" s="10">
        <v>93</v>
      </c>
    </row>
    <row r="9" spans="2:23">
      <c r="B9" s="9">
        <v>44972</v>
      </c>
      <c r="C9" s="10" t="s">
        <v>34</v>
      </c>
      <c r="D9" s="10" t="s">
        <v>35</v>
      </c>
      <c r="E9" s="10" t="s">
        <v>56</v>
      </c>
      <c r="F9" s="10">
        <v>15000</v>
      </c>
      <c r="G9" s="10">
        <v>2</v>
      </c>
      <c r="Q9" s="10" t="s">
        <v>57</v>
      </c>
      <c r="R9" s="10" t="s">
        <v>39</v>
      </c>
      <c r="S9" s="10">
        <v>67</v>
      </c>
      <c r="T9" s="10">
        <v>72</v>
      </c>
      <c r="U9" s="10">
        <v>70</v>
      </c>
      <c r="V9" s="10">
        <v>65</v>
      </c>
      <c r="W9" s="10">
        <v>75</v>
      </c>
    </row>
    <row r="10" spans="2:23">
      <c r="B10" s="9">
        <v>44975</v>
      </c>
      <c r="C10" s="10" t="s">
        <v>41</v>
      </c>
      <c r="D10" s="10" t="s">
        <v>42</v>
      </c>
      <c r="E10" s="10" t="s">
        <v>58</v>
      </c>
      <c r="F10" s="10">
        <v>25000</v>
      </c>
      <c r="G10" s="10">
        <v>1</v>
      </c>
      <c r="L10" t="s">
        <v>59</v>
      </c>
      <c r="M10" t="s">
        <v>60</v>
      </c>
      <c r="N10" t="s">
        <v>61</v>
      </c>
      <c r="Q10" s="10" t="s">
        <v>40</v>
      </c>
      <c r="R10" s="10" t="s">
        <v>62</v>
      </c>
      <c r="S10" s="10">
        <v>95</v>
      </c>
      <c r="T10" s="10">
        <v>89</v>
      </c>
      <c r="U10" s="10">
        <v>94</v>
      </c>
      <c r="V10" s="10">
        <v>92</v>
      </c>
      <c r="W10" s="10">
        <v>96</v>
      </c>
    </row>
    <row r="11" spans="2:23">
      <c r="B11" s="9">
        <v>44979</v>
      </c>
      <c r="C11" s="10" t="s">
        <v>46</v>
      </c>
      <c r="D11" s="10" t="s">
        <v>47</v>
      </c>
      <c r="E11" s="10" t="s">
        <v>63</v>
      </c>
      <c r="F11" s="10">
        <v>3000</v>
      </c>
      <c r="G11" s="10">
        <v>2</v>
      </c>
      <c r="L11" t="s">
        <v>26</v>
      </c>
      <c r="M11">
        <f>SUM(F5:F14)</f>
        <v>230000</v>
      </c>
      <c r="N11">
        <f>SUM(Sales)</f>
        <v>327600</v>
      </c>
      <c r="Q11" s="10" t="s">
        <v>45</v>
      </c>
      <c r="R11" s="10" t="s">
        <v>62</v>
      </c>
      <c r="S11" s="10">
        <v>82</v>
      </c>
      <c r="T11" s="10">
        <v>77</v>
      </c>
      <c r="U11" s="10">
        <v>80</v>
      </c>
      <c r="V11" s="10">
        <v>79</v>
      </c>
      <c r="W11" s="10">
        <v>85</v>
      </c>
    </row>
    <row r="12" spans="2:23">
      <c r="B12" s="9">
        <v>44986</v>
      </c>
      <c r="C12" s="10" t="s">
        <v>52</v>
      </c>
      <c r="D12" s="10" t="s">
        <v>53</v>
      </c>
      <c r="E12" s="10" t="s">
        <v>64</v>
      </c>
      <c r="F12" s="10">
        <v>40000</v>
      </c>
      <c r="G12" s="10">
        <v>1</v>
      </c>
      <c r="L12" t="s">
        <v>65</v>
      </c>
      <c r="M12">
        <f>AVERAGE(F5:F14)</f>
        <v>23000</v>
      </c>
      <c r="N12">
        <f>AVERAGE(Sales)</f>
        <v>10920</v>
      </c>
      <c r="Q12" s="10" t="s">
        <v>66</v>
      </c>
      <c r="R12" s="10" t="s">
        <v>50</v>
      </c>
      <c r="S12" s="10">
        <v>90</v>
      </c>
      <c r="T12" s="10">
        <v>85</v>
      </c>
      <c r="U12" s="10">
        <v>87</v>
      </c>
      <c r="V12" s="10">
        <v>88</v>
      </c>
      <c r="W12" s="10">
        <v>91</v>
      </c>
    </row>
    <row r="13" spans="2:14">
      <c r="B13" s="9">
        <v>44990</v>
      </c>
      <c r="C13" s="10" t="s">
        <v>34</v>
      </c>
      <c r="D13" s="10" t="s">
        <v>35</v>
      </c>
      <c r="E13" s="10" t="s">
        <v>36</v>
      </c>
      <c r="F13" s="10">
        <v>55000</v>
      </c>
      <c r="G13" s="10">
        <v>1</v>
      </c>
      <c r="L13" t="s">
        <v>67</v>
      </c>
      <c r="M13">
        <f>MIN(F5:F14)</f>
        <v>2000</v>
      </c>
      <c r="N13">
        <f>MIN(Sales)</f>
        <v>1500</v>
      </c>
    </row>
    <row r="14" spans="2:14">
      <c r="B14" s="9">
        <v>44995</v>
      </c>
      <c r="C14" s="10" t="s">
        <v>41</v>
      </c>
      <c r="D14" s="10" t="s">
        <v>42</v>
      </c>
      <c r="E14" s="10" t="s">
        <v>7</v>
      </c>
      <c r="F14" s="10">
        <v>12000</v>
      </c>
      <c r="G14" s="10">
        <v>2</v>
      </c>
      <c r="L14" t="s">
        <v>68</v>
      </c>
      <c r="M14">
        <f>MAX(F5:F14)</f>
        <v>55000</v>
      </c>
      <c r="N14">
        <f>MAX(Sales)</f>
        <v>55000</v>
      </c>
    </row>
    <row r="15" spans="12:14">
      <c r="L15" t="s">
        <v>69</v>
      </c>
      <c r="M15">
        <f>COUNT(F5:F14)</f>
        <v>10</v>
      </c>
      <c r="N15">
        <f>COUNT(Sales)</f>
        <v>30</v>
      </c>
    </row>
    <row r="17" spans="17:20">
      <c r="Q17" t="s">
        <v>70</v>
      </c>
      <c r="R17">
        <f>SUM(math)</f>
        <v>675</v>
      </c>
      <c r="T17">
        <f>SUM(math)</f>
        <v>675</v>
      </c>
    </row>
    <row r="18" spans="5:18">
      <c r="E18" t="s">
        <v>71</v>
      </c>
      <c r="F18">
        <f>SUM(roja)</f>
        <v>230000</v>
      </c>
      <c r="Q18" t="s">
        <v>72</v>
      </c>
      <c r="R18">
        <f>SUM(science)</f>
        <v>641</v>
      </c>
    </row>
    <row r="19" spans="5:18">
      <c r="E19" t="s">
        <v>73</v>
      </c>
      <c r="F19">
        <f>AVERAGE(roja)</f>
        <v>23000</v>
      </c>
      <c r="Q19" t="s">
        <v>74</v>
      </c>
      <c r="R19">
        <f>SUM(English)</f>
        <v>661</v>
      </c>
    </row>
    <row r="20" spans="5:18">
      <c r="E20" t="s">
        <v>75</v>
      </c>
      <c r="F20">
        <f>COUNT(roja)</f>
        <v>10</v>
      </c>
      <c r="Q20" t="s">
        <v>76</v>
      </c>
      <c r="R20">
        <f>SUM(social)</f>
        <v>640</v>
      </c>
    </row>
    <row r="21" spans="5:18">
      <c r="E21" t="s">
        <v>77</v>
      </c>
      <c r="F21">
        <f>MIN(roja)</f>
        <v>2000</v>
      </c>
      <c r="Q21" t="s">
        <v>78</v>
      </c>
      <c r="R21">
        <f>SUM(computer)</f>
        <v>693</v>
      </c>
    </row>
    <row r="22" spans="5:6">
      <c r="E22" t="s">
        <v>79</v>
      </c>
      <c r="F22">
        <f>MAX(roja)</f>
        <v>55000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G4" sqref="G4"/>
    </sheetView>
  </sheetViews>
  <sheetFormatPr defaultColWidth="9" defaultRowHeight="14.4" outlineLevelRow="6" outlineLevelCol="6"/>
  <cols>
    <col min="1" max="1" width="22.3611111111111" customWidth="1"/>
    <col min="2" max="2" width="17.2685185185185" customWidth="1"/>
    <col min="6" max="6" width="19.4537037037037" customWidth="1"/>
  </cols>
  <sheetData>
    <row r="1" spans="1:2">
      <c r="A1" s="5" t="s">
        <v>80</v>
      </c>
      <c r="B1" s="5" t="s">
        <v>81</v>
      </c>
    </row>
    <row r="2" spans="1:7">
      <c r="A2" s="6" t="s">
        <v>82</v>
      </c>
      <c r="B2" s="6" t="e">
        <f>SUM(Sales_Data)</f>
        <v>#REF!</v>
      </c>
      <c r="F2" t="s">
        <v>83</v>
      </c>
      <c r="G2" s="7" t="e">
        <f>SUM(Sales_Data)/Target_data</f>
        <v>#REF!</v>
      </c>
    </row>
    <row r="3" spans="1:7">
      <c r="A3" s="6" t="s">
        <v>84</v>
      </c>
      <c r="B3" s="6" t="e">
        <f>SUM(Units_Data)</f>
        <v>#REF!</v>
      </c>
      <c r="F3" t="s">
        <v>85</v>
      </c>
      <c r="G3" t="e">
        <f>Target_data-SUM(Sales_Data)</f>
        <v>#REF!</v>
      </c>
    </row>
    <row r="4" spans="1:7">
      <c r="A4" s="6" t="s">
        <v>86</v>
      </c>
      <c r="B4" s="6" t="e">
        <f>AVERAGE(Price_Data)</f>
        <v>#REF!</v>
      </c>
      <c r="F4" t="s">
        <v>87</v>
      </c>
      <c r="G4" s="7" t="e">
        <f>(Target_data-SUM(Sales_Data))/Target_data</f>
        <v>#REF!</v>
      </c>
    </row>
    <row r="5" spans="1:2">
      <c r="A5" s="6" t="s">
        <v>88</v>
      </c>
      <c r="B5" s="6" t="e">
        <f>MAX(Sales_Data)</f>
        <v>#REF!</v>
      </c>
    </row>
    <row r="6" spans="1:2">
      <c r="A6" s="6" t="s">
        <v>89</v>
      </c>
      <c r="B6" s="6" t="e">
        <f>MIN(Sales_Data)</f>
        <v>#REF!</v>
      </c>
    </row>
    <row r="7" spans="1:2">
      <c r="A7" s="6" t="s">
        <v>90</v>
      </c>
      <c r="B7">
        <f>COUNT(Date_Data)</f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30"/>
  <sheetViews>
    <sheetView workbookViewId="0">
      <selection activeCell="C7" sqref="C7"/>
    </sheetView>
  </sheetViews>
  <sheetFormatPr defaultColWidth="9" defaultRowHeight="14.4" outlineLevelCol="4"/>
  <cols>
    <col min="3" max="4" width="52" customWidth="1"/>
  </cols>
  <sheetData>
    <row r="2" spans="3:3">
      <c r="C2" s="2" t="s">
        <v>91</v>
      </c>
    </row>
    <row r="3" spans="3:4">
      <c r="C3" t="s">
        <v>92</v>
      </c>
      <c r="D3" s="19" t="s">
        <v>93</v>
      </c>
    </row>
    <row r="4" spans="3:3">
      <c r="C4" t="s">
        <v>94</v>
      </c>
    </row>
    <row r="5" spans="3:3">
      <c r="C5" t="s">
        <v>95</v>
      </c>
    </row>
    <row r="7" spans="3:3">
      <c r="C7" s="2" t="s">
        <v>96</v>
      </c>
    </row>
    <row r="9" spans="3:3">
      <c r="C9" t="s">
        <v>97</v>
      </c>
    </row>
    <row r="10" spans="3:3">
      <c r="C10" t="s">
        <v>98</v>
      </c>
    </row>
    <row r="11" spans="3:3">
      <c r="C11" t="s">
        <v>99</v>
      </c>
    </row>
    <row r="13" spans="3:3">
      <c r="C13" t="s">
        <v>100</v>
      </c>
    </row>
    <row r="14" spans="3:4">
      <c r="C14" t="s">
        <v>101</v>
      </c>
      <c r="D14" s="19" t="s">
        <v>102</v>
      </c>
    </row>
    <row r="15" spans="3:4">
      <c r="C15" t="s">
        <v>103</v>
      </c>
      <c r="D15" t="s">
        <v>104</v>
      </c>
    </row>
    <row r="16" spans="3:4">
      <c r="C16" t="s">
        <v>105</v>
      </c>
      <c r="D16" t="s">
        <v>106</v>
      </c>
    </row>
    <row r="17" spans="3:3">
      <c r="C17" t="s">
        <v>107</v>
      </c>
    </row>
    <row r="19" spans="3:4">
      <c r="C19" t="s">
        <v>108</v>
      </c>
      <c r="D19" s="19" t="s">
        <v>109</v>
      </c>
    </row>
    <row r="20" spans="3:3">
      <c r="C20" t="s">
        <v>110</v>
      </c>
    </row>
    <row r="21" spans="3:3">
      <c r="C21" t="s">
        <v>111</v>
      </c>
    </row>
    <row r="23" spans="3:4">
      <c r="C23" t="s">
        <v>112</v>
      </c>
      <c r="D23" s="19" t="s">
        <v>113</v>
      </c>
    </row>
    <row r="24" spans="3:3">
      <c r="C24" t="s">
        <v>114</v>
      </c>
    </row>
    <row r="25" spans="3:3">
      <c r="C25" t="s">
        <v>115</v>
      </c>
    </row>
    <row r="27" spans="3:5">
      <c r="C27" s="3" t="s">
        <v>116</v>
      </c>
      <c r="D27" s="3" t="s">
        <v>117</v>
      </c>
      <c r="E27" s="3" t="s">
        <v>118</v>
      </c>
    </row>
    <row r="28" ht="43.2" spans="3:5">
      <c r="C28" s="4" t="s">
        <v>119</v>
      </c>
      <c r="D28" s="4" t="s">
        <v>120</v>
      </c>
      <c r="E28" s="4" t="s">
        <v>121</v>
      </c>
    </row>
    <row r="29" ht="28.8" spans="3:5">
      <c r="C29" s="4" t="s">
        <v>122</v>
      </c>
      <c r="D29" s="4" t="s">
        <v>123</v>
      </c>
      <c r="E29" s="4" t="s">
        <v>124</v>
      </c>
    </row>
    <row r="30" ht="28.8" spans="3:5">
      <c r="C30" s="4" t="s">
        <v>125</v>
      </c>
      <c r="D30" s="4" t="s">
        <v>126</v>
      </c>
      <c r="E30" s="4" t="s">
        <v>127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S20"/>
  <sheetViews>
    <sheetView workbookViewId="0">
      <selection activeCell="J19" sqref="J19"/>
    </sheetView>
  </sheetViews>
  <sheetFormatPr defaultColWidth="8.88888888888889" defaultRowHeight="14.4"/>
  <cols>
    <col min="4" max="4" width="15.1111111111111" customWidth="1"/>
    <col min="6" max="6" width="17.3333333333333" customWidth="1"/>
  </cols>
  <sheetData>
    <row r="4" spans="2:6">
      <c r="B4">
        <f>B2+B3</f>
        <v>0</v>
      </c>
      <c r="D4" s="1" t="s">
        <v>128</v>
      </c>
      <c r="F4" s="1" t="s">
        <v>128</v>
      </c>
    </row>
    <row r="6" spans="6:6">
      <c r="F6" s="1" t="s">
        <v>128</v>
      </c>
    </row>
    <row r="8" spans="6:6">
      <c r="F8" s="1" t="s">
        <v>128</v>
      </c>
    </row>
    <row r="9" spans="2:2">
      <c r="B9" t="s">
        <v>129</v>
      </c>
    </row>
    <row r="10" spans="6:6">
      <c r="F10" t="s">
        <v>128</v>
      </c>
    </row>
    <row r="12" spans="6:17">
      <c r="F12" s="1"/>
      <c r="H12">
        <v>1</v>
      </c>
      <c r="I12">
        <v>1</v>
      </c>
      <c r="J12">
        <v>2</v>
      </c>
      <c r="K12">
        <v>3</v>
      </c>
      <c r="L12">
        <v>4</v>
      </c>
      <c r="M12">
        <v>5</v>
      </c>
      <c r="N12">
        <v>6</v>
      </c>
      <c r="O12">
        <v>7</v>
      </c>
      <c r="P12">
        <v>8</v>
      </c>
      <c r="Q12">
        <v>9</v>
      </c>
    </row>
    <row r="13" spans="8:8">
      <c r="H13">
        <v>2</v>
      </c>
    </row>
    <row r="14" spans="8:8">
      <c r="H14">
        <v>3</v>
      </c>
    </row>
    <row r="15" spans="4:8">
      <c r="D15" t="s">
        <v>25</v>
      </c>
      <c r="E15">
        <v>10</v>
      </c>
      <c r="H15">
        <v>4</v>
      </c>
    </row>
    <row r="16" spans="4:19">
      <c r="D16" t="s">
        <v>37</v>
      </c>
      <c r="E16">
        <v>20</v>
      </c>
      <c r="H16">
        <v>5</v>
      </c>
      <c r="K16">
        <v>1</v>
      </c>
      <c r="L16">
        <v>2</v>
      </c>
      <c r="M16">
        <v>3</v>
      </c>
      <c r="N16">
        <v>4</v>
      </c>
      <c r="O16">
        <v>5</v>
      </c>
      <c r="P16">
        <v>6</v>
      </c>
      <c r="Q16">
        <v>7</v>
      </c>
      <c r="R16">
        <v>8</v>
      </c>
      <c r="S16">
        <v>9</v>
      </c>
    </row>
    <row r="17" spans="5:8">
      <c r="E17">
        <f>E15+E16</f>
        <v>30</v>
      </c>
      <c r="H17">
        <v>6</v>
      </c>
    </row>
    <row r="18" spans="6:8">
      <c r="F18">
        <f>F16+F17</f>
        <v>0</v>
      </c>
      <c r="H18">
        <v>7</v>
      </c>
    </row>
    <row r="19" spans="8:8">
      <c r="H19">
        <v>8</v>
      </c>
    </row>
    <row r="20" spans="8:8">
      <c r="H20">
        <v>9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H9"/>
  <sheetViews>
    <sheetView workbookViewId="0">
      <selection activeCell="D9" sqref="D9"/>
    </sheetView>
  </sheetViews>
  <sheetFormatPr defaultColWidth="8.88888888888889" defaultRowHeight="14.4" outlineLevelCol="7"/>
  <cols>
    <col min="4" max="4" width="17.4444444444444" customWidth="1"/>
  </cols>
  <sheetData>
    <row r="3" spans="4:4">
      <c r="D3" t="s">
        <v>130</v>
      </c>
    </row>
    <row r="4" spans="6:8">
      <c r="F4">
        <v>1</v>
      </c>
      <c r="G4">
        <v>4</v>
      </c>
      <c r="H4">
        <v>7</v>
      </c>
    </row>
    <row r="5" spans="6:8">
      <c r="F5">
        <v>2</v>
      </c>
      <c r="G5">
        <v>5</v>
      </c>
      <c r="H5">
        <v>8</v>
      </c>
    </row>
    <row r="6" spans="6:8">
      <c r="F6">
        <v>3</v>
      </c>
      <c r="G6">
        <v>6</v>
      </c>
      <c r="H6">
        <v>9</v>
      </c>
    </row>
    <row r="9" spans="4:4">
      <c r="D9" t="s">
        <v>131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K10"/>
  <sheetViews>
    <sheetView workbookViewId="0">
      <selection activeCell="K10" sqref="K10"/>
    </sheetView>
  </sheetViews>
  <sheetFormatPr defaultColWidth="8.88888888888889" defaultRowHeight="14.4"/>
  <sheetData>
    <row r="5" spans="5:5">
      <c r="E5" t="str" cm="1">
        <f t="array" ref="E5">this_sunny</f>
        <v>Today is very sunny</v>
      </c>
    </row>
    <row r="7" spans="5:5">
      <c r="E7" t="str">
        <f>this_sunny</f>
        <v>Today is very sunny</v>
      </c>
    </row>
    <row r="8" spans="5:7">
      <c r="E8" cm="1">
        <f t="array" ref="E8:G10">sample</f>
        <v>1</v>
      </c>
      <c r="F8">
        <v>4</v>
      </c>
      <c r="G8">
        <v>7</v>
      </c>
    </row>
    <row r="9" spans="5:11">
      <c r="E9">
        <v>2</v>
      </c>
      <c r="F9">
        <v>5</v>
      </c>
      <c r="G9">
        <v>8</v>
      </c>
      <c r="K9" t="str">
        <f>nani</f>
        <v>roja</v>
      </c>
    </row>
    <row r="10" spans="5:7">
      <c r="E10">
        <v>3</v>
      </c>
      <c r="F10">
        <v>6</v>
      </c>
      <c r="G10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Freezing Techniques</vt:lpstr>
      <vt:lpstr>Name_Range</vt:lpstr>
      <vt:lpstr>Formulas</vt:lpstr>
      <vt:lpstr>Cell Refernce</vt:lpstr>
      <vt:lpstr>copy paste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Velamala Roja</cp:lastModifiedBy>
  <dcterms:created xsi:type="dcterms:W3CDTF">2026-04-13T17:08:00Z</dcterms:created>
  <dcterms:modified xsi:type="dcterms:W3CDTF">2026-04-14T06:32:19Z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BAA374BABA9A498D93802ED86ABC8471_12</vt:lpwstr>
  </property>
  <property fmtid="{D5CDD505-2E9C-101B-9397-08002B2CF9AE}" pid="3" name="KSOProductBuildVer">
    <vt:lpwstr>1033-12.2.0.23196</vt:lpwstr>
  </property>
</Properties>
</file>