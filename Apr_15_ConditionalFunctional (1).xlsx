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lam\Downloads\"/>
    </mc:Choice>
  </mc:AlternateContent>
  <xr:revisionPtr revIDLastSave="0" documentId="13_ncr:1_{07971AB9-3E17-4D76-A9B4-A1D3D1F8E685}" xr6:coauthVersionLast="47" xr6:coauthVersionMax="47" xr10:uidLastSave="{00000000-0000-0000-0000-000000000000}"/>
  <bookViews>
    <workbookView xWindow="5760" yWindow="3360" windowWidth="17280" windowHeight="8880" activeTab="2" xr2:uid="{EA335081-442A-4432-9AF5-B8C8A62E52F3}"/>
  </bookViews>
  <sheets>
    <sheet name="If &amp; Ifs Notes" sheetId="4" r:id="rId1"/>
    <sheet name="Conditional Functions DAtaset" sheetId="3" r:id="rId2"/>
    <sheet name="Sheet1" sheetId="5" r:id="rId3"/>
    <sheet name="Table Calculation" sheetId="1" r:id="rId4"/>
    <sheet name="Cell Reference Data" sheetId="2" r:id="rId5"/>
  </sheets>
  <definedNames>
    <definedName name="_xlnm._FilterDatabase" localSheetId="1" hidden="1">'Conditional Functions DAtaset'!$B$1:$F$37</definedName>
    <definedName name="Category">'Conditional Functions DAtaset'!$E$2:$E$37</definedName>
    <definedName name="Cust_Name">'Conditional Functions DAtaset'!$C$2:$C$37</definedName>
    <definedName name="Region">'Conditional Functions DAtaset'!$D$2:$D$37</definedName>
    <definedName name="Sales">'Conditional Functions DAtaset'!$F$2:$F$37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5" l="1"/>
  <c r="G8" i="5"/>
  <c r="G2" i="5"/>
  <c r="M19" i="3"/>
  <c r="N3" i="3"/>
  <c r="N4" i="3"/>
  <c r="N5" i="3"/>
  <c r="N2" i="3"/>
  <c r="M3" i="3"/>
  <c r="M4" i="3"/>
  <c r="M5" i="3"/>
  <c r="M2" i="3"/>
  <c r="L3" i="3"/>
  <c r="L4" i="3"/>
  <c r="L5" i="3"/>
  <c r="L2" i="3"/>
  <c r="I17" i="3"/>
  <c r="I14" i="3"/>
  <c r="I11" i="3"/>
  <c r="I10" i="3"/>
  <c r="I9" i="3"/>
  <c r="I8" i="3"/>
  <c r="I7" i="3"/>
  <c r="L5" i="2"/>
  <c r="K5" i="2"/>
  <c r="J5" i="2"/>
  <c r="I5" i="2"/>
  <c r="H5" i="2"/>
  <c r="K9" i="2" s="1"/>
  <c r="F22" i="1"/>
  <c r="G22" i="1"/>
  <c r="H22" i="1"/>
  <c r="I22" i="1"/>
  <c r="J22" i="1"/>
  <c r="K22" i="1"/>
  <c r="L22" i="1"/>
  <c r="M22" i="1"/>
  <c r="N22" i="1"/>
  <c r="O22" i="1"/>
  <c r="F23" i="1"/>
  <c r="G23" i="1"/>
  <c r="H23" i="1"/>
  <c r="I23" i="1"/>
  <c r="J23" i="1"/>
  <c r="K23" i="1"/>
  <c r="L23" i="1"/>
  <c r="M23" i="1"/>
  <c r="N23" i="1"/>
  <c r="O23" i="1"/>
  <c r="F24" i="1"/>
  <c r="G24" i="1"/>
  <c r="H24" i="1"/>
  <c r="I24" i="1"/>
  <c r="J24" i="1"/>
  <c r="K24" i="1"/>
  <c r="L24" i="1"/>
  <c r="M24" i="1"/>
  <c r="N24" i="1"/>
  <c r="O24" i="1"/>
  <c r="F25" i="1"/>
  <c r="G25" i="1"/>
  <c r="H25" i="1"/>
  <c r="I25" i="1"/>
  <c r="J25" i="1"/>
  <c r="K25" i="1"/>
  <c r="L25" i="1"/>
  <c r="M25" i="1"/>
  <c r="N25" i="1"/>
  <c r="O25" i="1"/>
  <c r="F26" i="1"/>
  <c r="G26" i="1"/>
  <c r="H26" i="1"/>
  <c r="I26" i="1"/>
  <c r="J26" i="1"/>
  <c r="K26" i="1"/>
  <c r="L26" i="1"/>
  <c r="M26" i="1"/>
  <c r="N26" i="1"/>
  <c r="O26" i="1"/>
  <c r="F27" i="1"/>
  <c r="G27" i="1"/>
  <c r="H27" i="1"/>
  <c r="I27" i="1"/>
  <c r="J27" i="1"/>
  <c r="K27" i="1"/>
  <c r="L27" i="1"/>
  <c r="M27" i="1"/>
  <c r="N27" i="1"/>
  <c r="O27" i="1"/>
  <c r="F28" i="1"/>
  <c r="G28" i="1"/>
  <c r="H28" i="1"/>
  <c r="I28" i="1"/>
  <c r="J28" i="1"/>
  <c r="K28" i="1"/>
  <c r="L28" i="1"/>
  <c r="M28" i="1"/>
  <c r="N28" i="1"/>
  <c r="O28" i="1"/>
  <c r="F29" i="1"/>
  <c r="G29" i="1"/>
  <c r="H29" i="1"/>
  <c r="I29" i="1"/>
  <c r="J29" i="1"/>
  <c r="K29" i="1"/>
  <c r="L29" i="1"/>
  <c r="M29" i="1"/>
  <c r="N29" i="1"/>
  <c r="O29" i="1"/>
  <c r="F30" i="1"/>
  <c r="G30" i="1"/>
  <c r="H30" i="1"/>
  <c r="I30" i="1"/>
  <c r="J30" i="1"/>
  <c r="K30" i="1"/>
  <c r="L30" i="1"/>
  <c r="M30" i="1"/>
  <c r="N30" i="1"/>
  <c r="O30" i="1"/>
  <c r="L21" i="1"/>
  <c r="M21" i="1"/>
  <c r="N21" i="1"/>
  <c r="O21" i="1"/>
  <c r="G21" i="1"/>
  <c r="H21" i="1"/>
  <c r="I21" i="1"/>
  <c r="J21" i="1"/>
  <c r="K21" i="1"/>
  <c r="F21" i="1"/>
  <c r="H9" i="1"/>
  <c r="H10" i="1"/>
  <c r="H11" i="1"/>
  <c r="H12" i="1"/>
  <c r="H13" i="1"/>
  <c r="H14" i="1"/>
  <c r="H15" i="1"/>
  <c r="H16" i="1"/>
  <c r="H17" i="1"/>
  <c r="H8" i="1"/>
  <c r="F9" i="1"/>
  <c r="F10" i="1"/>
  <c r="F11" i="1"/>
  <c r="F12" i="1"/>
  <c r="F13" i="1"/>
  <c r="F14" i="1"/>
  <c r="F15" i="1"/>
  <c r="F16" i="1"/>
  <c r="F17" i="1"/>
  <c r="F8" i="1"/>
  <c r="G3" i="1"/>
  <c r="H3" i="1"/>
  <c r="I3" i="1"/>
  <c r="J3" i="1"/>
  <c r="K3" i="1"/>
  <c r="L3" i="1"/>
  <c r="M3" i="1"/>
  <c r="N3" i="1"/>
  <c r="O3" i="1"/>
  <c r="F3" i="1"/>
  <c r="AA3" i="1"/>
  <c r="AA5" i="1"/>
  <c r="AA7" i="1"/>
  <c r="AA8" i="1"/>
  <c r="AA9" i="1"/>
  <c r="AA10" i="1"/>
  <c r="AA11" i="1"/>
  <c r="AA12" i="1"/>
  <c r="AA13" i="1"/>
  <c r="AA2" i="1"/>
  <c r="Z3" i="1"/>
  <c r="Z5" i="1"/>
  <c r="Z7" i="1"/>
  <c r="Z8" i="1"/>
  <c r="Z9" i="1"/>
  <c r="Z10" i="1"/>
  <c r="Z11" i="1"/>
  <c r="Z12" i="1"/>
  <c r="Z13" i="1"/>
  <c r="Z2" i="1"/>
  <c r="Y3" i="1"/>
  <c r="Y5" i="1"/>
  <c r="Y7" i="1"/>
  <c r="Y8" i="1"/>
  <c r="Y9" i="1"/>
  <c r="Y10" i="1"/>
  <c r="Y11" i="1"/>
  <c r="Y12" i="1"/>
  <c r="Y13" i="1"/>
  <c r="Y2" i="1"/>
  <c r="S3" i="1"/>
  <c r="S5" i="1"/>
  <c r="S7" i="1"/>
  <c r="S8" i="1"/>
  <c r="S9" i="1"/>
  <c r="S10" i="1"/>
  <c r="S11" i="1"/>
  <c r="S12" i="1"/>
  <c r="S13" i="1"/>
  <c r="S2" i="1"/>
  <c r="I12" i="1"/>
  <c r="G8" i="1"/>
  <c r="T9" i="1"/>
  <c r="I11" i="1"/>
  <c r="G5" i="1"/>
  <c r="T13" i="1"/>
  <c r="I8" i="1"/>
  <c r="K5" i="1"/>
  <c r="T5" i="1"/>
  <c r="G9" i="1"/>
  <c r="H5" i="1"/>
  <c r="T10" i="1"/>
  <c r="G13" i="1"/>
  <c r="L5" i="1"/>
  <c r="T7" i="1"/>
  <c r="I9" i="1"/>
  <c r="G17" i="1"/>
  <c r="I5" i="1"/>
  <c r="T8" i="1"/>
  <c r="I13" i="1"/>
  <c r="G16" i="1"/>
  <c r="J5" i="1"/>
  <c r="T12" i="1"/>
  <c r="I17" i="1"/>
  <c r="G10" i="1"/>
  <c r="N5" i="1"/>
  <c r="T11" i="1"/>
  <c r="I15" i="1"/>
  <c r="G14" i="1"/>
  <c r="O5" i="1"/>
  <c r="T2" i="1"/>
  <c r="I16" i="1"/>
  <c r="G11" i="1"/>
  <c r="M5" i="1"/>
  <c r="I10" i="1"/>
  <c r="G15" i="1"/>
  <c r="F5" i="1"/>
  <c r="I14" i="1"/>
  <c r="G12" i="1"/>
  <c r="T3" i="1"/>
  <c r="L9" i="2" l="1"/>
  <c r="J9" i="2"/>
  <c r="I9" i="2"/>
</calcChain>
</file>

<file path=xl/sharedStrings.xml><?xml version="1.0" encoding="utf-8"?>
<sst xmlns="http://schemas.openxmlformats.org/spreadsheetml/2006/main" count="446" uniqueCount="95">
  <si>
    <t>Name</t>
  </si>
  <si>
    <t>Region</t>
  </si>
  <si>
    <t>Category</t>
  </si>
  <si>
    <t>Sales</t>
  </si>
  <si>
    <t>Ravi</t>
  </si>
  <si>
    <t>South</t>
  </si>
  <si>
    <t>Electronics</t>
  </si>
  <si>
    <t>Anjali</t>
  </si>
  <si>
    <t>North</t>
  </si>
  <si>
    <t>Fashion</t>
  </si>
  <si>
    <t>Meena</t>
  </si>
  <si>
    <t>East</t>
  </si>
  <si>
    <t>Kiran</t>
  </si>
  <si>
    <t>West</t>
  </si>
  <si>
    <t>Accessories</t>
  </si>
  <si>
    <t>AVG</t>
  </si>
  <si>
    <t>MIN</t>
  </si>
  <si>
    <t>MAX</t>
  </si>
  <si>
    <t>COUNT</t>
  </si>
  <si>
    <t>SUM</t>
  </si>
  <si>
    <t>S.NO</t>
  </si>
  <si>
    <t>Target</t>
  </si>
  <si>
    <t>Target Achieved</t>
  </si>
  <si>
    <t>Target Achieved %</t>
  </si>
  <si>
    <t>Remaining Taget</t>
  </si>
  <si>
    <t>Remaining Target %</t>
  </si>
  <si>
    <t>KPIS SUMMARY</t>
  </si>
  <si>
    <t>TARGET ACHIEVEMENT TRACKER</t>
  </si>
  <si>
    <t>Total Sales by Ravi</t>
  </si>
  <si>
    <t>Conditional Functions</t>
  </si>
  <si>
    <t>SUMIF/ SUMIFS</t>
  </si>
  <si>
    <t>COUNTIF/ COUNTIFS</t>
  </si>
  <si>
    <t>AVERAGEIF / AVERAGEIFS</t>
  </si>
  <si>
    <t>MAXIFS</t>
  </si>
  <si>
    <t>MINIFS</t>
  </si>
  <si>
    <t>"Conditional Aggregate Functions in Excel (IF &amp; IFS Functions)"</t>
  </si>
  <si>
    <t>IF --&gt; Single Condition Logic</t>
  </si>
  <si>
    <t>=IF(condition, value_if_true, value_if_false)</t>
  </si>
  <si>
    <t>IFS --&gt; Multiple Condition Logic</t>
  </si>
  <si>
    <t>=IFS(condition1, result1, condition2, result2, ...)</t>
  </si>
  <si>
    <t>Topics</t>
  </si>
  <si>
    <t>SUMIF / SUMIFS</t>
  </si>
  <si>
    <t>COUNTIF / COUNTIFS</t>
  </si>
  <si>
    <t>MAXIFS, MINIFS</t>
  </si>
  <si>
    <t>Function</t>
  </si>
  <si>
    <t>Purpose</t>
  </si>
  <si>
    <t>Syntax</t>
  </si>
  <si>
    <t>Explanation</t>
  </si>
  <si>
    <t>Conditions</t>
  </si>
  <si>
    <t>Adds all numbers in a range.</t>
  </si>
  <si>
    <t>=SUM(range)</t>
  </si>
  <si>
    <t>None</t>
  </si>
  <si>
    <t>SUMIF</t>
  </si>
  <si>
    <t>Adds numbers based on one condition.</t>
  </si>
  <si>
    <t>=SUMIF(range, criteria, sum_range)</t>
  </si>
  <si>
    <t>1. range → where to apply condition
2. criteria → what condition to apply
3. sum_range → what to sum</t>
  </si>
  <si>
    <t>One Condition</t>
  </si>
  <si>
    <t>SUMIFS</t>
  </si>
  <si>
    <t>Adds numbers based on multiple conditions.</t>
  </si>
  <si>
    <t>=SUMIFS(sum_range, criteria_range1, criteria1, [criteria_range2, criteria2], ...)</t>
  </si>
  <si>
    <t>More than one condition</t>
  </si>
  <si>
    <t>IFS-Subtopic</t>
  </si>
  <si>
    <t>Add values based on multiple conditions</t>
  </si>
  <si>
    <t>AVERAGEIFS</t>
  </si>
  <si>
    <t>Calculate average with multiple conditions</t>
  </si>
  <si>
    <t>COUNTIFS</t>
  </si>
  <si>
    <t>Count items based on multiple conditions</t>
  </si>
  <si>
    <t>Return the maximum value that meets all conditions</t>
  </si>
  <si>
    <t>Return the minimum value that meets all conditions</t>
  </si>
  <si>
    <t>IF- SubTopic</t>
  </si>
  <si>
    <r>
      <t xml:space="preserve">Add values with </t>
    </r>
    <r>
      <rPr>
        <b/>
        <sz val="11"/>
        <color theme="1"/>
        <rFont val="Calibri"/>
        <family val="2"/>
        <scheme val="minor"/>
      </rPr>
      <t>one condition</t>
    </r>
  </si>
  <si>
    <t>COUNTIF</t>
  </si>
  <si>
    <r>
      <t xml:space="preserve">Count cells with </t>
    </r>
    <r>
      <rPr>
        <b/>
        <sz val="11"/>
        <color theme="1"/>
        <rFont val="Calibri"/>
        <family val="2"/>
        <scheme val="minor"/>
      </rPr>
      <t>one condition</t>
    </r>
  </si>
  <si>
    <t>AVERAGEIF</t>
  </si>
  <si>
    <t>Average based on one condition</t>
  </si>
  <si>
    <t>How many times Ravi ordered</t>
  </si>
  <si>
    <t>Average sales of SOUTH region</t>
  </si>
  <si>
    <t>Highest sales in ELECTRONICS</t>
  </si>
  <si>
    <t>Lowest sales in FASHION</t>
  </si>
  <si>
    <t>Total_Sales</t>
  </si>
  <si>
    <t>Average_Sales</t>
  </si>
  <si>
    <t>No_Of_Orders</t>
  </si>
  <si>
    <t>Min_Sale</t>
  </si>
  <si>
    <t>Max_Sale</t>
  </si>
  <si>
    <t>Cust_Name</t>
  </si>
  <si>
    <t>Cust Name</t>
  </si>
  <si>
    <t xml:space="preserve"> </t>
  </si>
  <si>
    <t>Multiple Conditions</t>
  </si>
  <si>
    <t>Sales of Ravi in South</t>
  </si>
  <si>
    <t>Count No of orders for Electronics from south region</t>
  </si>
  <si>
    <t>Average sales for category fashion and north region</t>
  </si>
  <si>
    <t>Count No of sales where sales &gt;5000</t>
  </si>
  <si>
    <t>Relative Reference</t>
  </si>
  <si>
    <t>Range</t>
  </si>
  <si>
    <t>CustName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</si>
</sst>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5" tint="-0.249977111117893"/>
      </left>
      <right style="thin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thin">
        <color theme="5" tint="-0.249977111117893"/>
      </left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3" xfId="1" applyFont="1" applyBorder="1"/>
    <xf numFmtId="9" fontId="0" fillId="0" borderId="4" xfId="1" applyFont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0" fillId="4" borderId="0" xfId="0" applyFill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4" borderId="20" xfId="0" applyFont="1" applyFill="1" applyBorder="1"/>
    <xf numFmtId="0" fontId="3" fillId="4" borderId="21" xfId="0" applyFont="1" applyFill="1" applyBorder="1"/>
    <xf numFmtId="0" fontId="3" fillId="4" borderId="22" xfId="0" applyFont="1" applyFill="1" applyBorder="1"/>
    <xf numFmtId="0" fontId="0" fillId="0" borderId="23" xfId="0" applyBorder="1"/>
    <xf numFmtId="0" fontId="0" fillId="0" borderId="23" xfId="0" quotePrefix="1" applyBorder="1"/>
    <xf numFmtId="0" fontId="2" fillId="5" borderId="23" xfId="0" applyFont="1" applyFill="1" applyBorder="1"/>
    <xf numFmtId="0" fontId="4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5" borderId="1" xfId="0" applyFont="1" applyFill="1" applyBorder="1"/>
    <xf numFmtId="2" fontId="0" fillId="0" borderId="1" xfId="0" applyNumberFormat="1" applyBorder="1"/>
    <xf numFmtId="0" fontId="2" fillId="4" borderId="1" xfId="0" applyFont="1" applyFill="1" applyBorder="1"/>
    <xf numFmtId="0" fontId="2" fillId="0" borderId="1" xfId="0" applyFont="1" applyBorder="1"/>
    <xf numFmtId="0" fontId="0" fillId="0" borderId="12" xfId="0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C0DB-F3D3-474A-8525-F1C1B7F2FD14}">
  <dimension ref="C1:P29"/>
  <sheetViews>
    <sheetView showGridLines="0" topLeftCell="A5" zoomScale="90" zoomScaleNormal="90" workbookViewId="0">
      <selection activeCell="D4" sqref="D4"/>
    </sheetView>
  </sheetViews>
  <sheetFormatPr defaultRowHeight="14.4" x14ac:dyDescent="0.3"/>
  <cols>
    <col min="3" max="3" width="88.88671875" bestFit="1" customWidth="1"/>
    <col min="4" max="4" width="48.5546875" bestFit="1" customWidth="1"/>
    <col min="5" max="5" width="38.5546875" customWidth="1"/>
    <col min="6" max="6" width="37" customWidth="1"/>
    <col min="7" max="7" width="14" bestFit="1" customWidth="1"/>
  </cols>
  <sheetData>
    <row r="1" spans="3:16" ht="15" thickBot="1" x14ac:dyDescent="0.35"/>
    <row r="2" spans="3:16" ht="24" thickBot="1" x14ac:dyDescent="0.5">
      <c r="C2" s="20" t="s">
        <v>35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2"/>
    </row>
    <row r="4" spans="3:16" x14ac:dyDescent="0.3">
      <c r="C4" s="23" t="s">
        <v>36</v>
      </c>
      <c r="D4" s="24" t="s">
        <v>37</v>
      </c>
    </row>
    <row r="5" spans="3:16" x14ac:dyDescent="0.3">
      <c r="C5" s="23" t="s">
        <v>38</v>
      </c>
      <c r="D5" s="23" t="s">
        <v>39</v>
      </c>
    </row>
    <row r="7" spans="3:16" x14ac:dyDescent="0.3">
      <c r="C7" s="25" t="s">
        <v>40</v>
      </c>
    </row>
    <row r="8" spans="3:16" x14ac:dyDescent="0.3">
      <c r="C8" s="23" t="s">
        <v>41</v>
      </c>
    </row>
    <row r="9" spans="3:16" x14ac:dyDescent="0.3">
      <c r="C9" s="23" t="s">
        <v>42</v>
      </c>
    </row>
    <row r="10" spans="3:16" x14ac:dyDescent="0.3">
      <c r="C10" s="23" t="s">
        <v>32</v>
      </c>
    </row>
    <row r="11" spans="3:16" x14ac:dyDescent="0.3">
      <c r="C11" s="23" t="s">
        <v>43</v>
      </c>
    </row>
    <row r="13" spans="3:16" ht="15.6" x14ac:dyDescent="0.3">
      <c r="C13" s="26" t="s">
        <v>44</v>
      </c>
      <c r="D13" s="26" t="s">
        <v>45</v>
      </c>
      <c r="E13" s="26" t="s">
        <v>46</v>
      </c>
      <c r="F13" s="26" t="s">
        <v>47</v>
      </c>
      <c r="G13" s="26" t="s">
        <v>48</v>
      </c>
    </row>
    <row r="14" spans="3:16" ht="26.25" customHeight="1" x14ac:dyDescent="0.3">
      <c r="C14" s="27" t="s">
        <v>19</v>
      </c>
      <c r="D14" s="28" t="s">
        <v>49</v>
      </c>
      <c r="E14" s="29" t="s">
        <v>50</v>
      </c>
      <c r="F14" s="30"/>
      <c r="G14" s="30" t="s">
        <v>51</v>
      </c>
    </row>
    <row r="15" spans="3:16" ht="43.2" x14ac:dyDescent="0.3">
      <c r="C15" s="31" t="s">
        <v>52</v>
      </c>
      <c r="D15" s="32" t="s">
        <v>53</v>
      </c>
      <c r="E15" s="33" t="s">
        <v>54</v>
      </c>
      <c r="F15" s="34" t="s">
        <v>55</v>
      </c>
      <c r="G15" s="32" t="s">
        <v>56</v>
      </c>
    </row>
    <row r="16" spans="3:16" ht="28.8" x14ac:dyDescent="0.3">
      <c r="C16" s="35" t="s">
        <v>57</v>
      </c>
      <c r="D16" s="36" t="s">
        <v>58</v>
      </c>
      <c r="E16" s="36" t="s">
        <v>59</v>
      </c>
      <c r="F16" s="1"/>
      <c r="G16" s="36" t="s">
        <v>60</v>
      </c>
    </row>
    <row r="19" spans="3:4" x14ac:dyDescent="0.3">
      <c r="C19" s="37" t="s">
        <v>61</v>
      </c>
      <c r="D19" s="37" t="s">
        <v>47</v>
      </c>
    </row>
    <row r="20" spans="3:4" x14ac:dyDescent="0.3">
      <c r="C20" s="1" t="s">
        <v>57</v>
      </c>
      <c r="D20" s="1" t="s">
        <v>62</v>
      </c>
    </row>
    <row r="21" spans="3:4" x14ac:dyDescent="0.3">
      <c r="C21" s="1" t="s">
        <v>63</v>
      </c>
      <c r="D21" s="1" t="s">
        <v>64</v>
      </c>
    </row>
    <row r="22" spans="3:4" x14ac:dyDescent="0.3">
      <c r="C22" s="1" t="s">
        <v>65</v>
      </c>
      <c r="D22" s="1" t="s">
        <v>66</v>
      </c>
    </row>
    <row r="23" spans="3:4" x14ac:dyDescent="0.3">
      <c r="C23" s="1" t="s">
        <v>33</v>
      </c>
      <c r="D23" s="1" t="s">
        <v>67</v>
      </c>
    </row>
    <row r="24" spans="3:4" x14ac:dyDescent="0.3">
      <c r="C24" s="1" t="s">
        <v>34</v>
      </c>
      <c r="D24" s="1" t="s">
        <v>68</v>
      </c>
    </row>
    <row r="26" spans="3:4" x14ac:dyDescent="0.3">
      <c r="C26" s="37" t="s">
        <v>69</v>
      </c>
      <c r="D26" s="37" t="s">
        <v>47</v>
      </c>
    </row>
    <row r="27" spans="3:4" x14ac:dyDescent="0.3">
      <c r="C27" s="1" t="s">
        <v>52</v>
      </c>
      <c r="D27" s="1" t="s">
        <v>70</v>
      </c>
    </row>
    <row r="28" spans="3:4" x14ac:dyDescent="0.3">
      <c r="C28" s="1" t="s">
        <v>71</v>
      </c>
      <c r="D28" s="1" t="s">
        <v>72</v>
      </c>
    </row>
    <row r="29" spans="3:4" x14ac:dyDescent="0.3">
      <c r="C29" s="1" t="s">
        <v>73</v>
      </c>
      <c r="D29" s="1" t="s">
        <v>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58FB-65E0-41D9-9C9E-B06A0D3F23C0}">
  <sheetPr filterMode="1"/>
  <dimension ref="B1:P37"/>
  <sheetViews>
    <sheetView showGridLines="0" workbookViewId="0">
      <selection activeCell="F2" sqref="F2:F16"/>
    </sheetView>
  </sheetViews>
  <sheetFormatPr defaultRowHeight="14.4" x14ac:dyDescent="0.3"/>
  <cols>
    <col min="5" max="5" width="14" customWidth="1"/>
    <col min="8" max="8" width="34.21875" customWidth="1"/>
    <col min="9" max="9" width="29.77734375" customWidth="1"/>
    <col min="11" max="16" width="13.6640625" customWidth="1"/>
  </cols>
  <sheetData>
    <row r="1" spans="2:16" x14ac:dyDescent="0.3">
      <c r="B1" s="15" t="s">
        <v>20</v>
      </c>
      <c r="C1" s="15" t="s">
        <v>84</v>
      </c>
      <c r="D1" s="15" t="s">
        <v>1</v>
      </c>
      <c r="E1" s="15" t="s">
        <v>2</v>
      </c>
      <c r="F1" s="15" t="s">
        <v>3</v>
      </c>
      <c r="H1" s="42" t="s">
        <v>29</v>
      </c>
      <c r="I1" s="17" t="s">
        <v>30</v>
      </c>
      <c r="J1" t="s">
        <v>86</v>
      </c>
      <c r="K1" s="39" t="s">
        <v>85</v>
      </c>
      <c r="L1" s="39" t="s">
        <v>79</v>
      </c>
      <c r="M1" s="39" t="s">
        <v>80</v>
      </c>
      <c r="N1" s="39" t="s">
        <v>81</v>
      </c>
      <c r="O1" s="39" t="s">
        <v>82</v>
      </c>
      <c r="P1" s="39" t="s">
        <v>83</v>
      </c>
    </row>
    <row r="2" spans="2:16" x14ac:dyDescent="0.3">
      <c r="B2" s="1">
        <v>1</v>
      </c>
      <c r="C2" s="1" t="s">
        <v>4</v>
      </c>
      <c r="D2" s="1" t="s">
        <v>5</v>
      </c>
      <c r="E2" s="1" t="s">
        <v>6</v>
      </c>
      <c r="F2" s="1">
        <v>7899</v>
      </c>
      <c r="H2" s="43"/>
      <c r="I2" s="18" t="s">
        <v>31</v>
      </c>
      <c r="K2" s="1" t="s">
        <v>7</v>
      </c>
      <c r="L2" s="1" t="e">
        <f>SUMIF(Cust_Name,K2,Sales_data)</f>
        <v>#NAME?</v>
      </c>
      <c r="M2" s="38" t="e">
        <f>AVERAGEIF(Cust_Name,K2,Sales_data)</f>
        <v>#NAME?</v>
      </c>
      <c r="N2" s="1">
        <f>COUNTIF(Cust_Name,K2)</f>
        <v>6</v>
      </c>
      <c r="O2" s="1"/>
      <c r="P2" s="1"/>
    </row>
    <row r="3" spans="2:16" hidden="1" x14ac:dyDescent="0.3">
      <c r="B3" s="1">
        <v>2</v>
      </c>
      <c r="C3" s="1" t="s">
        <v>7</v>
      </c>
      <c r="D3" s="1" t="s">
        <v>8</v>
      </c>
      <c r="E3" s="1" t="s">
        <v>9</v>
      </c>
      <c r="F3" s="1">
        <v>6146</v>
      </c>
      <c r="H3" s="43"/>
      <c r="I3" s="18" t="s">
        <v>32</v>
      </c>
      <c r="K3" s="1" t="s">
        <v>12</v>
      </c>
      <c r="L3" s="1" t="e">
        <f>SUMIF(Cust_Name,K3,Sales_data)</f>
        <v>#NAME?</v>
      </c>
      <c r="M3" s="38" t="e">
        <f>AVERAGEIF(Cust_Name,K3,Sales_data)</f>
        <v>#NAME?</v>
      </c>
      <c r="N3" s="1">
        <f>COUNTIF(Cust_Name,K3)</f>
        <v>6</v>
      </c>
      <c r="O3" s="1"/>
      <c r="P3" s="1"/>
    </row>
    <row r="4" spans="2:16" x14ac:dyDescent="0.3">
      <c r="B4" s="1">
        <v>3</v>
      </c>
      <c r="C4" s="1" t="s">
        <v>4</v>
      </c>
      <c r="D4" s="1" t="s">
        <v>5</v>
      </c>
      <c r="E4" s="1" t="s">
        <v>6</v>
      </c>
      <c r="F4" s="1">
        <v>8196</v>
      </c>
      <c r="H4" s="43"/>
      <c r="I4" s="18" t="s">
        <v>33</v>
      </c>
      <c r="K4" s="1" t="s">
        <v>10</v>
      </c>
      <c r="L4" s="1" t="e">
        <f>SUMIF(Cust_Name,K4,Sales_data)</f>
        <v>#NAME?</v>
      </c>
      <c r="M4" s="38" t="e">
        <f>AVERAGEIF(Cust_Name,K4,Sales_data)</f>
        <v>#NAME?</v>
      </c>
      <c r="N4" s="1">
        <f>COUNTIF(Cust_Name,K4)</f>
        <v>6</v>
      </c>
      <c r="O4" s="1"/>
      <c r="P4" s="1"/>
    </row>
    <row r="5" spans="2:16" ht="15" hidden="1" thickBot="1" x14ac:dyDescent="0.35">
      <c r="B5" s="1">
        <v>4</v>
      </c>
      <c r="C5" s="1" t="s">
        <v>10</v>
      </c>
      <c r="D5" s="1" t="s">
        <v>11</v>
      </c>
      <c r="E5" s="1" t="s">
        <v>9</v>
      </c>
      <c r="F5" s="1">
        <v>5821</v>
      </c>
      <c r="H5" s="44"/>
      <c r="I5" s="19" t="s">
        <v>34</v>
      </c>
      <c r="K5" s="1" t="s">
        <v>4</v>
      </c>
      <c r="L5" s="1" t="e">
        <f>SUMIF(Cust_Name,K5,Sales_data)</f>
        <v>#NAME?</v>
      </c>
      <c r="M5" s="38" t="e">
        <f>AVERAGEIF(Cust_Name,K5,Sales_data)</f>
        <v>#NAME?</v>
      </c>
      <c r="N5" s="1">
        <f>COUNTIF(Cust_Name,K5)</f>
        <v>18</v>
      </c>
      <c r="O5" s="1"/>
      <c r="P5" s="1"/>
    </row>
    <row r="6" spans="2:16" hidden="1" x14ac:dyDescent="0.3">
      <c r="B6" s="1">
        <v>5</v>
      </c>
      <c r="C6" s="1" t="s">
        <v>12</v>
      </c>
      <c r="D6" s="1" t="s">
        <v>13</v>
      </c>
      <c r="E6" s="1" t="s">
        <v>14</v>
      </c>
      <c r="F6" s="1">
        <v>2087</v>
      </c>
    </row>
    <row r="7" spans="2:16" hidden="1" x14ac:dyDescent="0.3">
      <c r="B7" s="1">
        <v>6</v>
      </c>
      <c r="C7" s="1" t="s">
        <v>4</v>
      </c>
      <c r="D7" s="1" t="s">
        <v>5</v>
      </c>
      <c r="E7" s="1" t="s">
        <v>9</v>
      </c>
      <c r="F7" s="1">
        <v>7243</v>
      </c>
      <c r="H7" s="1" t="s">
        <v>28</v>
      </c>
      <c r="I7" s="1">
        <f>SUMIF(C1:C37,"Ravi",F1:F37)</f>
        <v>101749</v>
      </c>
      <c r="K7" s="39" t="s">
        <v>1</v>
      </c>
      <c r="L7" s="39" t="s">
        <v>79</v>
      </c>
      <c r="M7" s="39" t="s">
        <v>80</v>
      </c>
      <c r="N7" s="39" t="s">
        <v>81</v>
      </c>
      <c r="O7" s="39" t="s">
        <v>82</v>
      </c>
      <c r="P7" s="39" t="s">
        <v>83</v>
      </c>
    </row>
    <row r="8" spans="2:16" hidden="1" x14ac:dyDescent="0.3">
      <c r="B8" s="1">
        <v>7</v>
      </c>
      <c r="C8" s="1" t="s">
        <v>4</v>
      </c>
      <c r="D8" s="1" t="s">
        <v>11</v>
      </c>
      <c r="E8" s="1" t="s">
        <v>6</v>
      </c>
      <c r="F8" s="1">
        <v>2394</v>
      </c>
      <c r="H8" s="1" t="s">
        <v>75</v>
      </c>
      <c r="I8" s="1">
        <f>COUNTIF(C1:C37,"Ravi")</f>
        <v>18</v>
      </c>
      <c r="K8" s="1" t="s">
        <v>11</v>
      </c>
      <c r="L8" s="1"/>
      <c r="M8" s="38"/>
      <c r="N8" s="1"/>
      <c r="O8" s="1"/>
      <c r="P8" s="1"/>
    </row>
    <row r="9" spans="2:16" hidden="1" x14ac:dyDescent="0.3">
      <c r="B9" s="1">
        <v>8</v>
      </c>
      <c r="C9" s="1" t="s">
        <v>7</v>
      </c>
      <c r="D9" s="1" t="s">
        <v>8</v>
      </c>
      <c r="E9" s="1" t="s">
        <v>9</v>
      </c>
      <c r="F9" s="1">
        <v>4907</v>
      </c>
      <c r="H9" s="1" t="s">
        <v>76</v>
      </c>
      <c r="I9" s="1">
        <f>AVERAGEIF($D$1:$D$37,"South",$F$1:$F$37)</f>
        <v>6037.4</v>
      </c>
      <c r="K9" s="1" t="s">
        <v>13</v>
      </c>
      <c r="L9" s="1"/>
      <c r="M9" s="38"/>
      <c r="N9" s="1"/>
      <c r="O9" s="1"/>
      <c r="P9" s="1"/>
    </row>
    <row r="10" spans="2:16" hidden="1" x14ac:dyDescent="0.3">
      <c r="B10" s="1">
        <v>9</v>
      </c>
      <c r="C10" s="1" t="s">
        <v>4</v>
      </c>
      <c r="D10" s="1" t="s">
        <v>11</v>
      </c>
      <c r="E10" s="1" t="s">
        <v>6</v>
      </c>
      <c r="F10" s="1">
        <v>1309</v>
      </c>
      <c r="H10" s="1" t="s">
        <v>77</v>
      </c>
      <c r="I10" s="1">
        <f>_xlfn.MAXIFS(F1:F37,E1:E37,"Electronics")</f>
        <v>9058</v>
      </c>
      <c r="K10" s="1" t="s">
        <v>8</v>
      </c>
      <c r="L10" s="1"/>
      <c r="M10" s="38"/>
      <c r="N10" s="1"/>
      <c r="O10" s="1"/>
      <c r="P10" s="1"/>
    </row>
    <row r="11" spans="2:16" hidden="1" x14ac:dyDescent="0.3">
      <c r="B11" s="1">
        <v>10</v>
      </c>
      <c r="C11" s="1" t="s">
        <v>10</v>
      </c>
      <c r="D11" s="1" t="s">
        <v>11</v>
      </c>
      <c r="E11" s="1" t="s">
        <v>9</v>
      </c>
      <c r="F11" s="1">
        <v>9166</v>
      </c>
      <c r="H11" s="1" t="s">
        <v>78</v>
      </c>
      <c r="I11" s="1">
        <f>_xlfn.MINIFS(F1:F37,E1:E37,"Fashion")</f>
        <v>1338</v>
      </c>
      <c r="K11" s="1" t="s">
        <v>5</v>
      </c>
      <c r="L11" s="1"/>
      <c r="M11" s="38"/>
      <c r="N11" s="1"/>
      <c r="O11" s="1"/>
      <c r="P11" s="1"/>
    </row>
    <row r="12" spans="2:16" hidden="1" x14ac:dyDescent="0.3">
      <c r="B12" s="1">
        <v>11</v>
      </c>
      <c r="C12" s="1" t="s">
        <v>12</v>
      </c>
      <c r="D12" s="1" t="s">
        <v>13</v>
      </c>
      <c r="E12" s="1" t="s">
        <v>14</v>
      </c>
      <c r="F12" s="1">
        <v>4023</v>
      </c>
    </row>
    <row r="13" spans="2:16" hidden="1" x14ac:dyDescent="0.3">
      <c r="B13" s="1">
        <v>12</v>
      </c>
      <c r="C13" s="1" t="s">
        <v>4</v>
      </c>
      <c r="D13" s="1" t="s">
        <v>11</v>
      </c>
      <c r="E13" s="1" t="s">
        <v>9</v>
      </c>
      <c r="F13" s="1">
        <v>1338</v>
      </c>
      <c r="H13" s="40" t="s">
        <v>87</v>
      </c>
      <c r="I13" s="40"/>
      <c r="K13" s="39" t="s">
        <v>2</v>
      </c>
      <c r="L13" s="39" t="s">
        <v>79</v>
      </c>
      <c r="M13" s="39" t="s">
        <v>80</v>
      </c>
      <c r="N13" s="39" t="s">
        <v>81</v>
      </c>
      <c r="O13" s="39" t="s">
        <v>82</v>
      </c>
      <c r="P13" s="39" t="s">
        <v>83</v>
      </c>
    </row>
    <row r="14" spans="2:16" x14ac:dyDescent="0.3">
      <c r="B14" s="1">
        <v>13</v>
      </c>
      <c r="C14" s="1" t="s">
        <v>4</v>
      </c>
      <c r="D14" s="1" t="s">
        <v>5</v>
      </c>
      <c r="E14" s="1" t="s">
        <v>6</v>
      </c>
      <c r="F14" s="1">
        <v>2695</v>
      </c>
      <c r="H14" s="1" t="s">
        <v>88</v>
      </c>
      <c r="I14" s="40">
        <f>SUMIFS(F1:F37,C1:C37,"Ravi",D1:D37,"South")</f>
        <v>30187</v>
      </c>
      <c r="K14" s="1" t="s">
        <v>14</v>
      </c>
      <c r="L14" s="1"/>
      <c r="M14" s="38"/>
      <c r="N14" s="1"/>
      <c r="O14" s="1"/>
      <c r="P14" s="1"/>
    </row>
    <row r="15" spans="2:16" hidden="1" x14ac:dyDescent="0.3">
      <c r="B15" s="1">
        <v>14</v>
      </c>
      <c r="C15" s="1" t="s">
        <v>7</v>
      </c>
      <c r="D15" s="1" t="s">
        <v>8</v>
      </c>
      <c r="E15" s="1" t="s">
        <v>9</v>
      </c>
      <c r="F15" s="1">
        <v>7830</v>
      </c>
      <c r="H15" s="1" t="s">
        <v>89</v>
      </c>
      <c r="I15" s="40"/>
      <c r="K15" s="1" t="s">
        <v>6</v>
      </c>
      <c r="L15" s="1"/>
      <c r="M15" s="38"/>
      <c r="N15" s="1"/>
      <c r="O15" s="1"/>
      <c r="P15" s="1"/>
    </row>
    <row r="16" spans="2:16" x14ac:dyDescent="0.3">
      <c r="B16" s="1">
        <v>15</v>
      </c>
      <c r="C16" s="1" t="s">
        <v>4</v>
      </c>
      <c r="D16" s="1" t="s">
        <v>5</v>
      </c>
      <c r="E16" s="1" t="s">
        <v>6</v>
      </c>
      <c r="F16" s="1">
        <v>4154</v>
      </c>
      <c r="H16" s="1" t="s">
        <v>90</v>
      </c>
      <c r="I16" s="40"/>
      <c r="K16" s="1" t="s">
        <v>9</v>
      </c>
      <c r="L16" s="1"/>
      <c r="M16" s="38"/>
      <c r="N16" s="1"/>
      <c r="O16" s="1"/>
      <c r="P16" s="1"/>
    </row>
    <row r="17" spans="2:14" hidden="1" x14ac:dyDescent="0.3">
      <c r="B17" s="1">
        <v>16</v>
      </c>
      <c r="C17" s="1" t="s">
        <v>10</v>
      </c>
      <c r="D17" s="1" t="s">
        <v>11</v>
      </c>
      <c r="E17" s="1" t="s">
        <v>9</v>
      </c>
      <c r="F17" s="1">
        <v>6381</v>
      </c>
      <c r="H17" s="1" t="s">
        <v>91</v>
      </c>
      <c r="I17" s="40">
        <f>COUNTIFS(F1:F37,"&gt;5000")</f>
        <v>17</v>
      </c>
    </row>
    <row r="18" spans="2:14" hidden="1" x14ac:dyDescent="0.3">
      <c r="B18" s="1">
        <v>17</v>
      </c>
      <c r="C18" s="1" t="s">
        <v>12</v>
      </c>
      <c r="D18" s="1" t="s">
        <v>13</v>
      </c>
      <c r="E18" s="1" t="s">
        <v>14</v>
      </c>
      <c r="F18" s="1">
        <v>3387</v>
      </c>
      <c r="K18" t="s">
        <v>84</v>
      </c>
      <c r="L18" t="s">
        <v>1</v>
      </c>
      <c r="M18" t="s">
        <v>79</v>
      </c>
      <c r="N18" t="s">
        <v>80</v>
      </c>
    </row>
    <row r="19" spans="2:14" hidden="1" x14ac:dyDescent="0.3">
      <c r="B19" s="1">
        <v>18</v>
      </c>
      <c r="C19" s="1" t="s">
        <v>4</v>
      </c>
      <c r="D19" s="1" t="s">
        <v>8</v>
      </c>
      <c r="E19" s="1" t="s">
        <v>9</v>
      </c>
      <c r="F19" s="1">
        <v>7395</v>
      </c>
      <c r="H19" s="1" t="s">
        <v>28</v>
      </c>
      <c r="I19" s="41" t="s">
        <v>4</v>
      </c>
      <c r="J19" s="41"/>
      <c r="K19" s="41" t="s">
        <v>4</v>
      </c>
      <c r="L19" s="41" t="s">
        <v>11</v>
      </c>
      <c r="M19" t="e">
        <f>SUMIFS(Sales_data,Cust_Name,K19,Region,L19)</f>
        <v>#NAME?</v>
      </c>
    </row>
    <row r="20" spans="2:14" hidden="1" x14ac:dyDescent="0.3">
      <c r="B20" s="1">
        <v>19</v>
      </c>
      <c r="C20" s="1" t="s">
        <v>4</v>
      </c>
      <c r="D20" s="1" t="s">
        <v>8</v>
      </c>
      <c r="E20" s="1" t="s">
        <v>6</v>
      </c>
      <c r="F20" s="1">
        <v>4368</v>
      </c>
      <c r="I20" t="s">
        <v>3</v>
      </c>
    </row>
    <row r="21" spans="2:14" hidden="1" x14ac:dyDescent="0.3">
      <c r="B21" s="1">
        <v>20</v>
      </c>
      <c r="C21" s="1" t="s">
        <v>7</v>
      </c>
      <c r="D21" s="1" t="s">
        <v>8</v>
      </c>
      <c r="E21" s="1" t="s">
        <v>9</v>
      </c>
      <c r="F21" s="1">
        <v>4232</v>
      </c>
      <c r="I21" t="s">
        <v>93</v>
      </c>
    </row>
    <row r="22" spans="2:14" hidden="1" x14ac:dyDescent="0.3">
      <c r="B22" s="1">
        <v>21</v>
      </c>
      <c r="C22" s="1" t="s">
        <v>4</v>
      </c>
      <c r="D22" s="1" t="s">
        <v>8</v>
      </c>
      <c r="E22" s="1" t="s">
        <v>6</v>
      </c>
      <c r="F22" s="1">
        <v>9058</v>
      </c>
    </row>
    <row r="23" spans="2:14" hidden="1" x14ac:dyDescent="0.3">
      <c r="B23" s="1">
        <v>22</v>
      </c>
      <c r="C23" s="1" t="s">
        <v>10</v>
      </c>
      <c r="D23" s="1" t="s">
        <v>11</v>
      </c>
      <c r="E23" s="1" t="s">
        <v>9</v>
      </c>
      <c r="F23" s="1">
        <v>4905</v>
      </c>
      <c r="H23" t="s">
        <v>3</v>
      </c>
    </row>
    <row r="24" spans="2:14" hidden="1" x14ac:dyDescent="0.3">
      <c r="B24" s="1">
        <v>23</v>
      </c>
      <c r="C24" s="1" t="s">
        <v>12</v>
      </c>
      <c r="D24" s="1" t="s">
        <v>13</v>
      </c>
      <c r="E24" s="1" t="s">
        <v>14</v>
      </c>
      <c r="F24" s="1">
        <v>3712</v>
      </c>
      <c r="H24" t="s">
        <v>4</v>
      </c>
      <c r="I24" t="s">
        <v>94</v>
      </c>
    </row>
    <row r="25" spans="2:14" hidden="1" x14ac:dyDescent="0.3">
      <c r="B25" s="1">
        <v>24</v>
      </c>
      <c r="C25" s="1" t="s">
        <v>4</v>
      </c>
      <c r="D25" s="1" t="s">
        <v>8</v>
      </c>
      <c r="E25" s="1" t="s">
        <v>9</v>
      </c>
      <c r="F25" s="1">
        <v>7555</v>
      </c>
      <c r="H25" t="s">
        <v>5</v>
      </c>
      <c r="I25" t="s">
        <v>1</v>
      </c>
    </row>
    <row r="26" spans="2:14" hidden="1" x14ac:dyDescent="0.3">
      <c r="B26" s="1">
        <v>25</v>
      </c>
      <c r="C26" s="1" t="s">
        <v>4</v>
      </c>
      <c r="D26" s="1" t="s">
        <v>8</v>
      </c>
      <c r="E26" s="1" t="s">
        <v>6</v>
      </c>
      <c r="F26" s="1">
        <v>5309</v>
      </c>
    </row>
    <row r="27" spans="2:14" hidden="1" x14ac:dyDescent="0.3">
      <c r="B27" s="1">
        <v>26</v>
      </c>
      <c r="C27" s="1" t="s">
        <v>7</v>
      </c>
      <c r="D27" s="1" t="s">
        <v>8</v>
      </c>
      <c r="E27" s="1" t="s">
        <v>9</v>
      </c>
      <c r="F27" s="1">
        <v>1682</v>
      </c>
    </row>
    <row r="28" spans="2:14" hidden="1" x14ac:dyDescent="0.3">
      <c r="B28" s="1">
        <v>27</v>
      </c>
      <c r="C28" s="1" t="s">
        <v>4</v>
      </c>
      <c r="D28" s="1" t="s">
        <v>13</v>
      </c>
      <c r="E28" s="1" t="s">
        <v>6</v>
      </c>
      <c r="F28" s="1">
        <v>3885</v>
      </c>
    </row>
    <row r="29" spans="2:14" hidden="1" x14ac:dyDescent="0.3">
      <c r="B29" s="1">
        <v>28</v>
      </c>
      <c r="C29" s="1" t="s">
        <v>10</v>
      </c>
      <c r="D29" s="1" t="s">
        <v>11</v>
      </c>
      <c r="E29" s="1" t="s">
        <v>9</v>
      </c>
      <c r="F29" s="1">
        <v>4589</v>
      </c>
    </row>
    <row r="30" spans="2:14" hidden="1" x14ac:dyDescent="0.3">
      <c r="B30" s="1">
        <v>29</v>
      </c>
      <c r="C30" s="1" t="s">
        <v>12</v>
      </c>
      <c r="D30" s="1" t="s">
        <v>13</v>
      </c>
      <c r="E30" s="1" t="s">
        <v>14</v>
      </c>
      <c r="F30" s="1">
        <v>2109</v>
      </c>
    </row>
    <row r="31" spans="2:14" hidden="1" x14ac:dyDescent="0.3">
      <c r="B31" s="1">
        <v>30</v>
      </c>
      <c r="C31" s="1" t="s">
        <v>4</v>
      </c>
      <c r="D31" s="1" t="s">
        <v>13</v>
      </c>
      <c r="E31" s="1" t="s">
        <v>9</v>
      </c>
      <c r="F31" s="1">
        <v>4006</v>
      </c>
    </row>
    <row r="32" spans="2:14" hidden="1" x14ac:dyDescent="0.3">
      <c r="B32" s="1">
        <v>31</v>
      </c>
      <c r="C32" s="1" t="s">
        <v>4</v>
      </c>
      <c r="D32" s="1" t="s">
        <v>13</v>
      </c>
      <c r="E32" s="1" t="s">
        <v>6</v>
      </c>
      <c r="F32" s="1">
        <v>8164</v>
      </c>
    </row>
    <row r="33" spans="2:6" hidden="1" x14ac:dyDescent="0.3">
      <c r="B33" s="1">
        <v>32</v>
      </c>
      <c r="C33" s="1" t="s">
        <v>7</v>
      </c>
      <c r="D33" s="1" t="s">
        <v>8</v>
      </c>
      <c r="E33" s="1" t="s">
        <v>9</v>
      </c>
      <c r="F33" s="1">
        <v>3084</v>
      </c>
    </row>
    <row r="34" spans="2:6" hidden="1" x14ac:dyDescent="0.3">
      <c r="B34" s="1">
        <v>33</v>
      </c>
      <c r="C34" s="1" t="s">
        <v>4</v>
      </c>
      <c r="D34" s="1" t="s">
        <v>13</v>
      </c>
      <c r="E34" s="1" t="s">
        <v>6</v>
      </c>
      <c r="F34" s="1">
        <v>8737</v>
      </c>
    </row>
    <row r="35" spans="2:6" hidden="1" x14ac:dyDescent="0.3">
      <c r="B35" s="1">
        <v>34</v>
      </c>
      <c r="C35" s="1" t="s">
        <v>10</v>
      </c>
      <c r="D35" s="1" t="s">
        <v>11</v>
      </c>
      <c r="E35" s="1" t="s">
        <v>9</v>
      </c>
      <c r="F35" s="1">
        <v>8044</v>
      </c>
    </row>
    <row r="36" spans="2:6" hidden="1" x14ac:dyDescent="0.3">
      <c r="B36" s="1">
        <v>35</v>
      </c>
      <c r="C36" s="1" t="s">
        <v>12</v>
      </c>
      <c r="D36" s="1" t="s">
        <v>13</v>
      </c>
      <c r="E36" s="1" t="s">
        <v>14</v>
      </c>
      <c r="F36" s="1">
        <v>8044</v>
      </c>
    </row>
    <row r="37" spans="2:6" hidden="1" x14ac:dyDescent="0.3">
      <c r="B37" s="1">
        <v>36</v>
      </c>
      <c r="C37" s="1" t="s">
        <v>4</v>
      </c>
      <c r="D37" s="1" t="s">
        <v>13</v>
      </c>
      <c r="E37" s="1" t="s">
        <v>9</v>
      </c>
      <c r="F37" s="1">
        <v>8044</v>
      </c>
    </row>
  </sheetData>
  <autoFilter ref="B1:F37" xr:uid="{9A8058FB-65E0-41D9-9C9E-B06A0D3F23C0}">
    <filterColumn colId="1">
      <filters>
        <filter val="Ravi"/>
      </filters>
    </filterColumn>
    <filterColumn colId="2">
      <filters>
        <filter val="South"/>
      </filters>
    </filterColumn>
    <filterColumn colId="3">
      <filters>
        <filter val="Electronics"/>
      </filters>
    </filterColumn>
  </autoFilter>
  <mergeCells count="1">
    <mergeCell ref="H1:H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4F30-AC70-439A-B5EE-85C6B20C2D9D}">
  <dimension ref="D1:G17"/>
  <sheetViews>
    <sheetView tabSelected="1" workbookViewId="0">
      <selection activeCell="E1" sqref="E1"/>
    </sheetView>
  </sheetViews>
  <sheetFormatPr defaultRowHeight="14.4" x14ac:dyDescent="0.3"/>
  <sheetData>
    <row r="1" spans="4:7" x14ac:dyDescent="0.3">
      <c r="D1" s="15" t="s">
        <v>84</v>
      </c>
    </row>
    <row r="2" spans="4:7" x14ac:dyDescent="0.3">
      <c r="D2" s="1" t="s">
        <v>4</v>
      </c>
      <c r="F2" t="s">
        <v>4</v>
      </c>
      <c r="G2">
        <f>SUMIF(Cust_Name,F2,Sales)</f>
        <v>101749</v>
      </c>
    </row>
    <row r="3" spans="4:7" x14ac:dyDescent="0.3">
      <c r="D3" s="1" t="s">
        <v>7</v>
      </c>
    </row>
    <row r="4" spans="4:7" x14ac:dyDescent="0.3">
      <c r="D4" s="1" t="s">
        <v>10</v>
      </c>
    </row>
    <row r="5" spans="4:7" x14ac:dyDescent="0.3">
      <c r="D5" s="1" t="s">
        <v>12</v>
      </c>
    </row>
    <row r="8" spans="4:7" x14ac:dyDescent="0.3">
      <c r="D8" s="15" t="s">
        <v>1</v>
      </c>
      <c r="F8" t="s">
        <v>5</v>
      </c>
      <c r="G8">
        <f>SUMIFS(Sales,Cust_Name,F2,Region,F8)</f>
        <v>30187</v>
      </c>
    </row>
    <row r="9" spans="4:7" x14ac:dyDescent="0.3">
      <c r="D9" s="1" t="s">
        <v>5</v>
      </c>
    </row>
    <row r="10" spans="4:7" x14ac:dyDescent="0.3">
      <c r="D10" s="1" t="s">
        <v>8</v>
      </c>
    </row>
    <row r="11" spans="4:7" x14ac:dyDescent="0.3">
      <c r="D11" s="1" t="s">
        <v>11</v>
      </c>
    </row>
    <row r="12" spans="4:7" x14ac:dyDescent="0.3">
      <c r="D12" s="1" t="s">
        <v>13</v>
      </c>
    </row>
    <row r="14" spans="4:7" x14ac:dyDescent="0.3">
      <c r="D14" s="15" t="s">
        <v>2</v>
      </c>
      <c r="F14" t="s">
        <v>6</v>
      </c>
      <c r="G14">
        <f>SUMIFS(Sales,Category,F14,Cust_Name,F2,Region,F8)</f>
        <v>22944</v>
      </c>
    </row>
    <row r="15" spans="4:7" x14ac:dyDescent="0.3">
      <c r="D15" s="1" t="s">
        <v>6</v>
      </c>
    </row>
    <row r="16" spans="4:7" x14ac:dyDescent="0.3">
      <c r="D16" s="1" t="s">
        <v>9</v>
      </c>
    </row>
    <row r="17" spans="4:4" x14ac:dyDescent="0.3">
      <c r="D17" s="1" t="s">
        <v>14</v>
      </c>
    </row>
  </sheetData>
  <dataValidations count="5">
    <dataValidation type="list" allowBlank="1" showInputMessage="1" showErrorMessage="1" prompt="select custname" sqref="F2" xr:uid="{7707258D-C2CF-4644-98A2-41F78AE4E82B}">
      <formula1>$D$2:$D$5</formula1>
    </dataValidation>
    <dataValidation allowBlank="1" showInputMessage="1" showErrorMessage="1" prompt="select custname" sqref="H2" xr:uid="{D1329C51-A553-4D72-AB97-EB63B801B800}"/>
    <dataValidation type="list" allowBlank="1" showInputMessage="1" showErrorMessage="1" sqref="D8:D12 F8" xr:uid="{D527288B-6618-4A51-973D-BD16AB0875D6}">
      <formula1>$D$8:$D$12</formula1>
    </dataValidation>
    <dataValidation type="list" allowBlank="1" showInputMessage="1" showErrorMessage="1" prompt="select category" sqref="F14" xr:uid="{12FC8299-F3BC-4E12-8D0A-56FD6DC95FB1}">
      <formula1>$D$14:$D$17</formula1>
    </dataValidation>
    <dataValidation type="list" allowBlank="1" showInputMessage="1" showErrorMessage="1" sqref="D4" xr:uid="{7C1777D0-8D98-42D5-87FE-FFC39C7480EA}">
      <formula1>$D$1:$D$5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25E2-A0DE-4733-A746-862B61146333}">
  <dimension ref="E1:AA30"/>
  <sheetViews>
    <sheetView topLeftCell="B10" workbookViewId="0">
      <selection activeCell="F25" sqref="F25"/>
    </sheetView>
  </sheetViews>
  <sheetFormatPr defaultRowHeight="14.4" x14ac:dyDescent="0.3"/>
  <cols>
    <col min="6" max="15" width="12.6640625" customWidth="1"/>
    <col min="20" max="20" width="9.21875" bestFit="1" customWidth="1"/>
  </cols>
  <sheetData>
    <row r="1" spans="5:27" x14ac:dyDescent="0.3">
      <c r="T1" t="s">
        <v>92</v>
      </c>
    </row>
    <row r="2" spans="5:27" x14ac:dyDescent="0.3"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  <c r="N2">
        <v>9</v>
      </c>
      <c r="O2">
        <v>10</v>
      </c>
      <c r="Q2">
        <v>2</v>
      </c>
      <c r="R2">
        <v>1</v>
      </c>
      <c r="S2">
        <f>Q2*R2</f>
        <v>2</v>
      </c>
      <c r="T2" t="str">
        <f ca="1">_xlfn.FORMULATEXT(S2)</f>
        <v>=Q2*R2</v>
      </c>
      <c r="V2">
        <v>2</v>
      </c>
      <c r="W2">
        <v>2</v>
      </c>
      <c r="X2">
        <v>1</v>
      </c>
      <c r="Y2">
        <f>V$2*X2</f>
        <v>2</v>
      </c>
      <c r="Z2">
        <f>W$2*X2</f>
        <v>2</v>
      </c>
      <c r="AA2">
        <f>$W$2*X2</f>
        <v>2</v>
      </c>
    </row>
    <row r="3" spans="5:27" x14ac:dyDescent="0.3">
      <c r="E3">
        <v>2</v>
      </c>
      <c r="F3">
        <f>$E$3*F$2</f>
        <v>2</v>
      </c>
      <c r="G3">
        <f t="shared" ref="G3:O3" si="0">$E$3*G$2</f>
        <v>4</v>
      </c>
      <c r="H3">
        <f t="shared" si="0"/>
        <v>6</v>
      </c>
      <c r="I3">
        <f t="shared" si="0"/>
        <v>8</v>
      </c>
      <c r="J3">
        <f t="shared" si="0"/>
        <v>10</v>
      </c>
      <c r="K3">
        <f t="shared" si="0"/>
        <v>12</v>
      </c>
      <c r="L3">
        <f t="shared" si="0"/>
        <v>14</v>
      </c>
      <c r="M3">
        <f t="shared" si="0"/>
        <v>16</v>
      </c>
      <c r="N3">
        <f t="shared" si="0"/>
        <v>18</v>
      </c>
      <c r="O3">
        <f t="shared" si="0"/>
        <v>20</v>
      </c>
      <c r="Q3">
        <v>2</v>
      </c>
      <c r="R3">
        <v>2</v>
      </c>
      <c r="S3">
        <f t="shared" ref="S3:S13" si="1">Q3*R3</f>
        <v>4</v>
      </c>
      <c r="T3" t="str">
        <f t="shared" ref="T3:T13" ca="1" si="2">_xlfn.FORMULATEXT(S3)</f>
        <v>=Q3*R3</v>
      </c>
      <c r="X3">
        <v>2</v>
      </c>
      <c r="Y3">
        <f t="shared" ref="Y3:Y13" si="3">V$2*X3</f>
        <v>4</v>
      </c>
      <c r="Z3">
        <f t="shared" ref="Z3:Z13" si="4">W$2*X3</f>
        <v>4</v>
      </c>
      <c r="AA3">
        <f t="shared" ref="AA3:AA13" si="5">$W$2*X3</f>
        <v>4</v>
      </c>
    </row>
    <row r="5" spans="5:27" x14ac:dyDescent="0.3">
      <c r="F5" t="str">
        <f ca="1">_xlfn.FORMULATEXT(F3)</f>
        <v>=$E$3*F$2</v>
      </c>
      <c r="G5" t="str">
        <f t="shared" ref="G5:L5" ca="1" si="6">_xlfn.FORMULATEXT(G3)</f>
        <v>=$E$3*G$2</v>
      </c>
      <c r="H5" t="str">
        <f t="shared" ca="1" si="6"/>
        <v>=$E$3*H$2</v>
      </c>
      <c r="I5" t="str">
        <f t="shared" ca="1" si="6"/>
        <v>=$E$3*I$2</v>
      </c>
      <c r="J5" t="str">
        <f t="shared" ca="1" si="6"/>
        <v>=$E$3*J$2</v>
      </c>
      <c r="K5" t="str">
        <f t="shared" ca="1" si="6"/>
        <v>=$E$3*K$2</v>
      </c>
      <c r="L5" t="str">
        <f t="shared" ca="1" si="6"/>
        <v>=$E$3*L$2</v>
      </c>
      <c r="M5" t="str">
        <f t="shared" ref="M5" ca="1" si="7">_xlfn.FORMULATEXT(M3)</f>
        <v>=$E$3*M$2</v>
      </c>
      <c r="N5" t="str">
        <f ca="1">_xlfn.FORMULATEXT(N3)</f>
        <v>=$E$3*N$2</v>
      </c>
      <c r="O5" t="str">
        <f t="shared" ref="O5" ca="1" si="8">_xlfn.FORMULATEXT(O3)</f>
        <v>=$E$3*O$2</v>
      </c>
      <c r="Q5">
        <v>2</v>
      </c>
      <c r="R5">
        <v>3</v>
      </c>
      <c r="S5">
        <f t="shared" si="1"/>
        <v>6</v>
      </c>
      <c r="T5" t="str">
        <f t="shared" ca="1" si="2"/>
        <v>=Q5*R5</v>
      </c>
      <c r="X5">
        <v>3</v>
      </c>
      <c r="Y5">
        <f t="shared" si="3"/>
        <v>6</v>
      </c>
      <c r="Z5">
        <f t="shared" si="4"/>
        <v>6</v>
      </c>
      <c r="AA5">
        <f t="shared" si="5"/>
        <v>6</v>
      </c>
    </row>
    <row r="7" spans="5:27" x14ac:dyDescent="0.3">
      <c r="F7">
        <v>2</v>
      </c>
      <c r="Q7">
        <v>2</v>
      </c>
      <c r="R7">
        <v>4</v>
      </c>
      <c r="S7">
        <f t="shared" si="1"/>
        <v>8</v>
      </c>
      <c r="T7" t="str">
        <f t="shared" ca="1" si="2"/>
        <v>=Q7*R7</v>
      </c>
      <c r="X7">
        <v>4</v>
      </c>
      <c r="Y7">
        <f t="shared" si="3"/>
        <v>8</v>
      </c>
      <c r="Z7">
        <f t="shared" si="4"/>
        <v>8</v>
      </c>
      <c r="AA7">
        <f t="shared" si="5"/>
        <v>8</v>
      </c>
    </row>
    <row r="8" spans="5:27" x14ac:dyDescent="0.3">
      <c r="E8">
        <v>1</v>
      </c>
      <c r="F8">
        <f>E8*F$7</f>
        <v>2</v>
      </c>
      <c r="G8" t="str">
        <f ca="1">_xlfn.FORMULATEXT(F8)</f>
        <v>=E8*F$7</v>
      </c>
      <c r="H8">
        <f>E8*$F$7</f>
        <v>2</v>
      </c>
      <c r="I8" t="str">
        <f ca="1">_xlfn.FORMULATEXT(H8)</f>
        <v>=E8*$F$7</v>
      </c>
      <c r="Q8">
        <v>2</v>
      </c>
      <c r="R8">
        <v>5</v>
      </c>
      <c r="S8">
        <f t="shared" si="1"/>
        <v>10</v>
      </c>
      <c r="T8" t="str">
        <f t="shared" ca="1" si="2"/>
        <v>=Q8*R8</v>
      </c>
      <c r="X8">
        <v>5</v>
      </c>
      <c r="Y8">
        <f t="shared" si="3"/>
        <v>10</v>
      </c>
      <c r="Z8">
        <f t="shared" si="4"/>
        <v>10</v>
      </c>
      <c r="AA8">
        <f t="shared" si="5"/>
        <v>10</v>
      </c>
    </row>
    <row r="9" spans="5:27" x14ac:dyDescent="0.3">
      <c r="E9">
        <v>2</v>
      </c>
      <c r="F9">
        <f t="shared" ref="F9:F17" si="9">E9*F$7</f>
        <v>4</v>
      </c>
      <c r="G9" t="str">
        <f t="shared" ref="G9:G17" ca="1" si="10">_xlfn.FORMULATEXT(F9)</f>
        <v>=E9*F$7</v>
      </c>
      <c r="H9">
        <f t="shared" ref="H9:H17" si="11">E9*$F$7</f>
        <v>4</v>
      </c>
      <c r="I9" t="str">
        <f t="shared" ref="I9:I17" ca="1" si="12">_xlfn.FORMULATEXT(H9)</f>
        <v>=E9*$F$7</v>
      </c>
      <c r="Q9">
        <v>2</v>
      </c>
      <c r="R9">
        <v>6</v>
      </c>
      <c r="S9">
        <f t="shared" si="1"/>
        <v>12</v>
      </c>
      <c r="T9" t="str">
        <f t="shared" ca="1" si="2"/>
        <v>=Q9*R9</v>
      </c>
      <c r="X9">
        <v>6</v>
      </c>
      <c r="Y9">
        <f t="shared" si="3"/>
        <v>12</v>
      </c>
      <c r="Z9">
        <f t="shared" si="4"/>
        <v>12</v>
      </c>
      <c r="AA9">
        <f t="shared" si="5"/>
        <v>12</v>
      </c>
    </row>
    <row r="10" spans="5:27" x14ac:dyDescent="0.3">
      <c r="E10">
        <v>3</v>
      </c>
      <c r="F10">
        <f t="shared" si="9"/>
        <v>6</v>
      </c>
      <c r="G10" t="str">
        <f t="shared" ca="1" si="10"/>
        <v>=E10*F$7</v>
      </c>
      <c r="H10">
        <f t="shared" si="11"/>
        <v>6</v>
      </c>
      <c r="I10" t="str">
        <f t="shared" ca="1" si="12"/>
        <v>=E10*$F$7</v>
      </c>
      <c r="Q10">
        <v>2</v>
      </c>
      <c r="R10">
        <v>7</v>
      </c>
      <c r="S10">
        <f t="shared" si="1"/>
        <v>14</v>
      </c>
      <c r="T10" t="str">
        <f t="shared" ca="1" si="2"/>
        <v>=Q10*R10</v>
      </c>
      <c r="X10">
        <v>7</v>
      </c>
      <c r="Y10">
        <f t="shared" si="3"/>
        <v>14</v>
      </c>
      <c r="Z10">
        <f t="shared" si="4"/>
        <v>14</v>
      </c>
      <c r="AA10">
        <f t="shared" si="5"/>
        <v>14</v>
      </c>
    </row>
    <row r="11" spans="5:27" x14ac:dyDescent="0.3">
      <c r="E11">
        <v>4</v>
      </c>
      <c r="F11">
        <f t="shared" si="9"/>
        <v>8</v>
      </c>
      <c r="G11" t="str">
        <f t="shared" ca="1" si="10"/>
        <v>=E11*F$7</v>
      </c>
      <c r="H11">
        <f t="shared" si="11"/>
        <v>8</v>
      </c>
      <c r="I11" t="str">
        <f t="shared" ca="1" si="12"/>
        <v>=E11*$F$7</v>
      </c>
      <c r="Q11">
        <v>2</v>
      </c>
      <c r="R11">
        <v>8</v>
      </c>
      <c r="S11">
        <f t="shared" si="1"/>
        <v>16</v>
      </c>
      <c r="T11" t="str">
        <f t="shared" ca="1" si="2"/>
        <v>=Q11*R11</v>
      </c>
      <c r="X11">
        <v>8</v>
      </c>
      <c r="Y11">
        <f t="shared" si="3"/>
        <v>16</v>
      </c>
      <c r="Z11">
        <f t="shared" si="4"/>
        <v>16</v>
      </c>
      <c r="AA11">
        <f t="shared" si="5"/>
        <v>16</v>
      </c>
    </row>
    <row r="12" spans="5:27" x14ac:dyDescent="0.3">
      <c r="E12">
        <v>5</v>
      </c>
      <c r="F12">
        <f t="shared" si="9"/>
        <v>10</v>
      </c>
      <c r="G12" t="str">
        <f t="shared" ca="1" si="10"/>
        <v>=E12*F$7</v>
      </c>
      <c r="H12">
        <f t="shared" si="11"/>
        <v>10</v>
      </c>
      <c r="I12" t="str">
        <f t="shared" ca="1" si="12"/>
        <v>=E12*$F$7</v>
      </c>
      <c r="Q12">
        <v>2</v>
      </c>
      <c r="R12">
        <v>9</v>
      </c>
      <c r="S12">
        <f t="shared" si="1"/>
        <v>18</v>
      </c>
      <c r="T12" t="str">
        <f t="shared" ca="1" si="2"/>
        <v>=Q12*R12</v>
      </c>
      <c r="X12">
        <v>9</v>
      </c>
      <c r="Y12">
        <f t="shared" si="3"/>
        <v>18</v>
      </c>
      <c r="Z12">
        <f t="shared" si="4"/>
        <v>18</v>
      </c>
      <c r="AA12">
        <f t="shared" si="5"/>
        <v>18</v>
      </c>
    </row>
    <row r="13" spans="5:27" x14ac:dyDescent="0.3">
      <c r="E13">
        <v>6</v>
      </c>
      <c r="F13">
        <f t="shared" si="9"/>
        <v>12</v>
      </c>
      <c r="G13" t="str">
        <f t="shared" ca="1" si="10"/>
        <v>=E13*F$7</v>
      </c>
      <c r="H13">
        <f t="shared" si="11"/>
        <v>12</v>
      </c>
      <c r="I13" t="str">
        <f t="shared" ca="1" si="12"/>
        <v>=E13*$F$7</v>
      </c>
      <c r="Q13">
        <v>2</v>
      </c>
      <c r="R13">
        <v>10</v>
      </c>
      <c r="S13">
        <f t="shared" si="1"/>
        <v>20</v>
      </c>
      <c r="T13" t="str">
        <f t="shared" ca="1" si="2"/>
        <v>=Q13*R13</v>
      </c>
      <c r="X13">
        <v>10</v>
      </c>
      <c r="Y13">
        <f t="shared" si="3"/>
        <v>20</v>
      </c>
      <c r="Z13">
        <f t="shared" si="4"/>
        <v>20</v>
      </c>
      <c r="AA13">
        <f t="shared" si="5"/>
        <v>20</v>
      </c>
    </row>
    <row r="14" spans="5:27" x14ac:dyDescent="0.3">
      <c r="E14">
        <v>7</v>
      </c>
      <c r="F14">
        <f t="shared" si="9"/>
        <v>14</v>
      </c>
      <c r="G14" t="str">
        <f t="shared" ca="1" si="10"/>
        <v>=E14*F$7</v>
      </c>
      <c r="H14">
        <f t="shared" si="11"/>
        <v>14</v>
      </c>
      <c r="I14" t="str">
        <f t="shared" ca="1" si="12"/>
        <v>=E14*$F$7</v>
      </c>
    </row>
    <row r="15" spans="5:27" x14ac:dyDescent="0.3">
      <c r="E15">
        <v>8</v>
      </c>
      <c r="F15">
        <f t="shared" si="9"/>
        <v>16</v>
      </c>
      <c r="G15" t="str">
        <f t="shared" ca="1" si="10"/>
        <v>=E15*F$7</v>
      </c>
      <c r="H15">
        <f t="shared" si="11"/>
        <v>16</v>
      </c>
      <c r="I15" t="str">
        <f t="shared" ca="1" si="12"/>
        <v>=E15*$F$7</v>
      </c>
    </row>
    <row r="16" spans="5:27" x14ac:dyDescent="0.3">
      <c r="E16">
        <v>9</v>
      </c>
      <c r="F16">
        <f t="shared" si="9"/>
        <v>18</v>
      </c>
      <c r="G16" t="str">
        <f t="shared" ca="1" si="10"/>
        <v>=E16*F$7</v>
      </c>
      <c r="H16">
        <f t="shared" si="11"/>
        <v>18</v>
      </c>
      <c r="I16" t="str">
        <f t="shared" ca="1" si="12"/>
        <v>=E16*$F$7</v>
      </c>
    </row>
    <row r="17" spans="5:15" x14ac:dyDescent="0.3">
      <c r="E17">
        <v>10</v>
      </c>
      <c r="F17">
        <f t="shared" si="9"/>
        <v>20</v>
      </c>
      <c r="G17" t="str">
        <f t="shared" ca="1" si="10"/>
        <v>=E17*F$7</v>
      </c>
      <c r="H17">
        <f t="shared" si="11"/>
        <v>20</v>
      </c>
      <c r="I17" t="str">
        <f t="shared" ca="1" si="12"/>
        <v>=E17*$F$7</v>
      </c>
    </row>
    <row r="20" spans="5:15" x14ac:dyDescent="0.3">
      <c r="F20" s="16">
        <v>1</v>
      </c>
      <c r="G20" s="16">
        <v>2</v>
      </c>
      <c r="H20" s="16">
        <v>3</v>
      </c>
      <c r="I20" s="16">
        <v>4</v>
      </c>
      <c r="J20" s="16">
        <v>5</v>
      </c>
      <c r="K20" s="16">
        <v>6</v>
      </c>
      <c r="L20" s="16">
        <v>7</v>
      </c>
      <c r="M20" s="16">
        <v>8</v>
      </c>
      <c r="N20" s="16">
        <v>9</v>
      </c>
      <c r="O20" s="16">
        <v>10</v>
      </c>
    </row>
    <row r="21" spans="5:15" x14ac:dyDescent="0.3">
      <c r="E21">
        <v>1</v>
      </c>
      <c r="F21">
        <f>$E21*F$20</f>
        <v>1</v>
      </c>
      <c r="G21">
        <f t="shared" ref="G21:O30" si="13">$E21*G$20</f>
        <v>2</v>
      </c>
      <c r="H21">
        <f t="shared" si="13"/>
        <v>3</v>
      </c>
      <c r="I21">
        <f t="shared" si="13"/>
        <v>4</v>
      </c>
      <c r="J21">
        <f t="shared" si="13"/>
        <v>5</v>
      </c>
      <c r="K21">
        <f t="shared" si="13"/>
        <v>6</v>
      </c>
      <c r="L21">
        <f>$E21*L$20</f>
        <v>7</v>
      </c>
      <c r="M21">
        <f t="shared" si="13"/>
        <v>8</v>
      </c>
      <c r="N21">
        <f t="shared" si="13"/>
        <v>9</v>
      </c>
      <c r="O21">
        <f t="shared" si="13"/>
        <v>10</v>
      </c>
    </row>
    <row r="22" spans="5:15" x14ac:dyDescent="0.3">
      <c r="E22">
        <v>2</v>
      </c>
      <c r="F22">
        <f t="shared" ref="F22:F30" si="14">$E22*F$20</f>
        <v>2</v>
      </c>
      <c r="G22">
        <f t="shared" si="13"/>
        <v>4</v>
      </c>
      <c r="H22">
        <f t="shared" si="13"/>
        <v>6</v>
      </c>
      <c r="I22">
        <f t="shared" si="13"/>
        <v>8</v>
      </c>
      <c r="J22">
        <f t="shared" si="13"/>
        <v>10</v>
      </c>
      <c r="K22">
        <f t="shared" si="13"/>
        <v>12</v>
      </c>
      <c r="L22">
        <f t="shared" si="13"/>
        <v>14</v>
      </c>
      <c r="M22">
        <f t="shared" si="13"/>
        <v>16</v>
      </c>
      <c r="N22">
        <f t="shared" si="13"/>
        <v>18</v>
      </c>
      <c r="O22">
        <f t="shared" si="13"/>
        <v>20</v>
      </c>
    </row>
    <row r="23" spans="5:15" x14ac:dyDescent="0.3">
      <c r="E23">
        <v>3</v>
      </c>
      <c r="F23">
        <f t="shared" si="14"/>
        <v>3</v>
      </c>
      <c r="G23">
        <f t="shared" si="13"/>
        <v>6</v>
      </c>
      <c r="H23">
        <f t="shared" si="13"/>
        <v>9</v>
      </c>
      <c r="I23">
        <f t="shared" si="13"/>
        <v>12</v>
      </c>
      <c r="J23">
        <f t="shared" si="13"/>
        <v>15</v>
      </c>
      <c r="K23">
        <f t="shared" si="13"/>
        <v>18</v>
      </c>
      <c r="L23">
        <f t="shared" si="13"/>
        <v>21</v>
      </c>
      <c r="M23">
        <f t="shared" si="13"/>
        <v>24</v>
      </c>
      <c r="N23">
        <f t="shared" si="13"/>
        <v>27</v>
      </c>
      <c r="O23">
        <f t="shared" si="13"/>
        <v>30</v>
      </c>
    </row>
    <row r="24" spans="5:15" x14ac:dyDescent="0.3">
      <c r="E24">
        <v>4</v>
      </c>
      <c r="F24">
        <f t="shared" si="14"/>
        <v>4</v>
      </c>
      <c r="G24">
        <f t="shared" si="13"/>
        <v>8</v>
      </c>
      <c r="H24">
        <f t="shared" si="13"/>
        <v>12</v>
      </c>
      <c r="I24">
        <f t="shared" si="13"/>
        <v>16</v>
      </c>
      <c r="J24">
        <f t="shared" si="13"/>
        <v>20</v>
      </c>
      <c r="K24">
        <f t="shared" si="13"/>
        <v>24</v>
      </c>
      <c r="L24">
        <f t="shared" si="13"/>
        <v>28</v>
      </c>
      <c r="M24">
        <f t="shared" si="13"/>
        <v>32</v>
      </c>
      <c r="N24">
        <f t="shared" si="13"/>
        <v>36</v>
      </c>
      <c r="O24">
        <f t="shared" si="13"/>
        <v>40</v>
      </c>
    </row>
    <row r="25" spans="5:15" x14ac:dyDescent="0.3">
      <c r="E25">
        <v>5</v>
      </c>
      <c r="F25">
        <f t="shared" si="14"/>
        <v>5</v>
      </c>
      <c r="G25">
        <f t="shared" si="13"/>
        <v>10</v>
      </c>
      <c r="H25">
        <f t="shared" si="13"/>
        <v>15</v>
      </c>
      <c r="I25">
        <f t="shared" si="13"/>
        <v>20</v>
      </c>
      <c r="J25">
        <f t="shared" si="13"/>
        <v>25</v>
      </c>
      <c r="K25">
        <f t="shared" si="13"/>
        <v>30</v>
      </c>
      <c r="L25">
        <f t="shared" si="13"/>
        <v>35</v>
      </c>
      <c r="M25">
        <f t="shared" si="13"/>
        <v>40</v>
      </c>
      <c r="N25">
        <f t="shared" si="13"/>
        <v>45</v>
      </c>
      <c r="O25">
        <f t="shared" si="13"/>
        <v>50</v>
      </c>
    </row>
    <row r="26" spans="5:15" x14ac:dyDescent="0.3">
      <c r="E26">
        <v>6</v>
      </c>
      <c r="F26">
        <f t="shared" si="14"/>
        <v>6</v>
      </c>
      <c r="G26">
        <f t="shared" si="13"/>
        <v>12</v>
      </c>
      <c r="H26">
        <f t="shared" si="13"/>
        <v>18</v>
      </c>
      <c r="I26">
        <f t="shared" si="13"/>
        <v>24</v>
      </c>
      <c r="J26">
        <f t="shared" si="13"/>
        <v>30</v>
      </c>
      <c r="K26">
        <f t="shared" si="13"/>
        <v>36</v>
      </c>
      <c r="L26">
        <f t="shared" si="13"/>
        <v>42</v>
      </c>
      <c r="M26">
        <f t="shared" si="13"/>
        <v>48</v>
      </c>
      <c r="N26">
        <f t="shared" si="13"/>
        <v>54</v>
      </c>
      <c r="O26">
        <f t="shared" si="13"/>
        <v>60</v>
      </c>
    </row>
    <row r="27" spans="5:15" x14ac:dyDescent="0.3">
      <c r="E27">
        <v>7</v>
      </c>
      <c r="F27">
        <f t="shared" si="14"/>
        <v>7</v>
      </c>
      <c r="G27">
        <f t="shared" si="13"/>
        <v>14</v>
      </c>
      <c r="H27">
        <f t="shared" si="13"/>
        <v>21</v>
      </c>
      <c r="I27">
        <f t="shared" si="13"/>
        <v>28</v>
      </c>
      <c r="J27">
        <f t="shared" si="13"/>
        <v>35</v>
      </c>
      <c r="K27">
        <f t="shared" si="13"/>
        <v>42</v>
      </c>
      <c r="L27">
        <f t="shared" si="13"/>
        <v>49</v>
      </c>
      <c r="M27">
        <f t="shared" si="13"/>
        <v>56</v>
      </c>
      <c r="N27">
        <f t="shared" si="13"/>
        <v>63</v>
      </c>
      <c r="O27">
        <f t="shared" si="13"/>
        <v>70</v>
      </c>
    </row>
    <row r="28" spans="5:15" x14ac:dyDescent="0.3">
      <c r="E28">
        <v>8</v>
      </c>
      <c r="F28">
        <f t="shared" si="14"/>
        <v>8</v>
      </c>
      <c r="G28">
        <f t="shared" si="13"/>
        <v>16</v>
      </c>
      <c r="H28">
        <f t="shared" si="13"/>
        <v>24</v>
      </c>
      <c r="I28">
        <f t="shared" si="13"/>
        <v>32</v>
      </c>
      <c r="J28">
        <f t="shared" si="13"/>
        <v>40</v>
      </c>
      <c r="K28">
        <f t="shared" si="13"/>
        <v>48</v>
      </c>
      <c r="L28">
        <f t="shared" si="13"/>
        <v>56</v>
      </c>
      <c r="M28">
        <f t="shared" si="13"/>
        <v>64</v>
      </c>
      <c r="N28">
        <f t="shared" si="13"/>
        <v>72</v>
      </c>
      <c r="O28">
        <f t="shared" si="13"/>
        <v>80</v>
      </c>
    </row>
    <row r="29" spans="5:15" x14ac:dyDescent="0.3">
      <c r="E29">
        <v>9</v>
      </c>
      <c r="F29">
        <f t="shared" si="14"/>
        <v>9</v>
      </c>
      <c r="G29">
        <f t="shared" si="13"/>
        <v>18</v>
      </c>
      <c r="H29">
        <f t="shared" si="13"/>
        <v>27</v>
      </c>
      <c r="I29">
        <f t="shared" si="13"/>
        <v>36</v>
      </c>
      <c r="J29">
        <f t="shared" si="13"/>
        <v>45</v>
      </c>
      <c r="K29">
        <f t="shared" si="13"/>
        <v>54</v>
      </c>
      <c r="L29">
        <f t="shared" si="13"/>
        <v>63</v>
      </c>
      <c r="M29">
        <f t="shared" si="13"/>
        <v>72</v>
      </c>
      <c r="N29">
        <f t="shared" si="13"/>
        <v>81</v>
      </c>
      <c r="O29">
        <f t="shared" si="13"/>
        <v>90</v>
      </c>
    </row>
    <row r="30" spans="5:15" x14ac:dyDescent="0.3">
      <c r="E30">
        <v>10</v>
      </c>
      <c r="F30">
        <f t="shared" si="14"/>
        <v>10</v>
      </c>
      <c r="G30">
        <f t="shared" si="13"/>
        <v>20</v>
      </c>
      <c r="H30">
        <f t="shared" si="13"/>
        <v>30</v>
      </c>
      <c r="I30">
        <f t="shared" si="13"/>
        <v>40</v>
      </c>
      <c r="J30">
        <f t="shared" si="13"/>
        <v>50</v>
      </c>
      <c r="K30">
        <f t="shared" si="13"/>
        <v>60</v>
      </c>
      <c r="L30">
        <f t="shared" si="13"/>
        <v>70</v>
      </c>
      <c r="M30">
        <f t="shared" si="13"/>
        <v>80</v>
      </c>
      <c r="N30">
        <f t="shared" si="13"/>
        <v>90</v>
      </c>
      <c r="O30">
        <f t="shared" si="13"/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A61A-0CA9-4865-A57E-3AF91F75D0F4}">
  <dimension ref="B2:L66"/>
  <sheetViews>
    <sheetView showGridLines="0" topLeftCell="A2" workbookViewId="0">
      <selection activeCell="H14" sqref="H14"/>
    </sheetView>
  </sheetViews>
  <sheetFormatPr defaultRowHeight="14.4" x14ac:dyDescent="0.3"/>
  <cols>
    <col min="5" max="5" width="14" customWidth="1"/>
    <col min="8" max="8" width="18.21875" customWidth="1"/>
    <col min="9" max="9" width="17.21875" customWidth="1"/>
    <col min="10" max="10" width="19.33203125" customWidth="1"/>
    <col min="11" max="11" width="16" customWidth="1"/>
    <col min="12" max="12" width="19.21875" customWidth="1"/>
  </cols>
  <sheetData>
    <row r="2" spans="2:12" ht="15" thickBot="1" x14ac:dyDescent="0.35"/>
    <row r="3" spans="2:12" ht="15" thickBot="1" x14ac:dyDescent="0.35">
      <c r="B3" s="15" t="s">
        <v>20</v>
      </c>
      <c r="C3" s="15" t="s">
        <v>0</v>
      </c>
      <c r="D3" s="15" t="s">
        <v>1</v>
      </c>
      <c r="E3" s="15" t="s">
        <v>2</v>
      </c>
      <c r="F3" s="15" t="s">
        <v>3</v>
      </c>
      <c r="H3" s="45" t="s">
        <v>26</v>
      </c>
      <c r="I3" s="46"/>
      <c r="J3" s="46"/>
      <c r="K3" s="46"/>
      <c r="L3" s="47"/>
    </row>
    <row r="4" spans="2:12" ht="15" thickBot="1" x14ac:dyDescent="0.35">
      <c r="B4" s="1">
        <v>1</v>
      </c>
      <c r="C4" s="1" t="s">
        <v>4</v>
      </c>
      <c r="D4" s="1" t="s">
        <v>5</v>
      </c>
      <c r="E4" s="1" t="s">
        <v>6</v>
      </c>
      <c r="F4" s="1">
        <v>7899</v>
      </c>
      <c r="H4" s="9" t="s">
        <v>19</v>
      </c>
      <c r="I4" s="10" t="s">
        <v>15</v>
      </c>
      <c r="J4" s="10" t="s">
        <v>16</v>
      </c>
      <c r="K4" s="10" t="s">
        <v>17</v>
      </c>
      <c r="L4" s="11" t="s">
        <v>18</v>
      </c>
    </row>
    <row r="5" spans="2:12" ht="15" thickBot="1" x14ac:dyDescent="0.35">
      <c r="B5" s="1">
        <v>2</v>
      </c>
      <c r="C5" s="1" t="s">
        <v>7</v>
      </c>
      <c r="D5" s="1" t="s">
        <v>8</v>
      </c>
      <c r="E5" s="1" t="s">
        <v>9</v>
      </c>
      <c r="F5" s="1">
        <v>6146</v>
      </c>
      <c r="H5" s="4">
        <f>SUM(Sales)</f>
        <v>191898</v>
      </c>
      <c r="I5" s="5">
        <f>AVERAGE(Sales)</f>
        <v>5330.5</v>
      </c>
      <c r="J5" s="5">
        <f>MIN(Sales)</f>
        <v>1309</v>
      </c>
      <c r="K5" s="5">
        <f>MAX(Sales)</f>
        <v>9166</v>
      </c>
      <c r="L5" s="6">
        <f>COUNT(Sales)</f>
        <v>36</v>
      </c>
    </row>
    <row r="6" spans="2:12" ht="15" thickBot="1" x14ac:dyDescent="0.35">
      <c r="B6" s="1">
        <v>3</v>
      </c>
      <c r="C6" s="1" t="s">
        <v>4</v>
      </c>
      <c r="D6" s="1" t="s">
        <v>5</v>
      </c>
      <c r="E6" s="1" t="s">
        <v>6</v>
      </c>
      <c r="F6" s="1">
        <v>8196</v>
      </c>
    </row>
    <row r="7" spans="2:12" ht="15" thickBot="1" x14ac:dyDescent="0.35">
      <c r="B7" s="1">
        <v>4</v>
      </c>
      <c r="C7" s="1" t="s">
        <v>10</v>
      </c>
      <c r="D7" s="1" t="s">
        <v>11</v>
      </c>
      <c r="E7" s="1" t="s">
        <v>9</v>
      </c>
      <c r="F7" s="1">
        <v>5821</v>
      </c>
      <c r="H7" s="48" t="s">
        <v>27</v>
      </c>
      <c r="I7" s="49"/>
      <c r="J7" s="49"/>
      <c r="K7" s="49"/>
      <c r="L7" s="50"/>
    </row>
    <row r="8" spans="2:12" ht="15" thickBot="1" x14ac:dyDescent="0.35">
      <c r="B8" s="1">
        <v>5</v>
      </c>
      <c r="C8" s="1" t="s">
        <v>12</v>
      </c>
      <c r="D8" s="1" t="s">
        <v>13</v>
      </c>
      <c r="E8" s="1" t="s">
        <v>14</v>
      </c>
      <c r="F8" s="1">
        <v>2087</v>
      </c>
      <c r="H8" s="12" t="s">
        <v>21</v>
      </c>
      <c r="I8" s="13" t="s">
        <v>22</v>
      </c>
      <c r="J8" s="13" t="s">
        <v>23</v>
      </c>
      <c r="K8" s="13" t="s">
        <v>24</v>
      </c>
      <c r="L8" s="14" t="s">
        <v>25</v>
      </c>
    </row>
    <row r="9" spans="2:12" ht="15" thickBot="1" x14ac:dyDescent="0.35">
      <c r="B9" s="1">
        <v>6</v>
      </c>
      <c r="C9" s="1" t="s">
        <v>4</v>
      </c>
      <c r="D9" s="1" t="s">
        <v>5</v>
      </c>
      <c r="E9" s="1" t="s">
        <v>9</v>
      </c>
      <c r="F9" s="1">
        <v>7243</v>
      </c>
      <c r="H9" s="2">
        <v>450000</v>
      </c>
      <c r="I9" s="3">
        <f>$H$5</f>
        <v>191898</v>
      </c>
      <c r="J9" s="7">
        <f>$H$5/$H$9</f>
        <v>0.42643999999999999</v>
      </c>
      <c r="K9" s="3">
        <f>$H$9-$H$5</f>
        <v>258102</v>
      </c>
      <c r="L9" s="8">
        <f>($H$9-$H$5)/$H$9</f>
        <v>0.57355999999999996</v>
      </c>
    </row>
    <row r="10" spans="2:12" x14ac:dyDescent="0.3">
      <c r="B10" s="1">
        <v>7</v>
      </c>
      <c r="C10" s="1" t="s">
        <v>4</v>
      </c>
      <c r="D10" s="1" t="s">
        <v>5</v>
      </c>
      <c r="E10" s="1" t="s">
        <v>6</v>
      </c>
      <c r="F10" s="1">
        <v>2394</v>
      </c>
    </row>
    <row r="11" spans="2:12" x14ac:dyDescent="0.3">
      <c r="B11" s="1">
        <v>8</v>
      </c>
      <c r="C11" s="1" t="s">
        <v>7</v>
      </c>
      <c r="D11" s="1" t="s">
        <v>8</v>
      </c>
      <c r="E11" s="1" t="s">
        <v>9</v>
      </c>
      <c r="F11" s="1">
        <v>4907</v>
      </c>
    </row>
    <row r="12" spans="2:12" x14ac:dyDescent="0.3">
      <c r="B12" s="1">
        <v>9</v>
      </c>
      <c r="C12" s="1" t="s">
        <v>4</v>
      </c>
      <c r="D12" s="1" t="s">
        <v>5</v>
      </c>
      <c r="E12" s="1" t="s">
        <v>6</v>
      </c>
      <c r="F12" s="1">
        <v>1309</v>
      </c>
    </row>
    <row r="13" spans="2:12" x14ac:dyDescent="0.3">
      <c r="B13" s="1">
        <v>10</v>
      </c>
      <c r="C13" s="1" t="s">
        <v>10</v>
      </c>
      <c r="D13" s="1" t="s">
        <v>11</v>
      </c>
      <c r="E13" s="1" t="s">
        <v>9</v>
      </c>
      <c r="F13" s="1">
        <v>9166</v>
      </c>
    </row>
    <row r="14" spans="2:12" x14ac:dyDescent="0.3">
      <c r="B14" s="1">
        <v>11</v>
      </c>
      <c r="C14" s="1" t="s">
        <v>12</v>
      </c>
      <c r="D14" s="1" t="s">
        <v>13</v>
      </c>
      <c r="E14" s="1" t="s">
        <v>14</v>
      </c>
      <c r="F14" s="1">
        <v>4023</v>
      </c>
    </row>
    <row r="15" spans="2:12" x14ac:dyDescent="0.3">
      <c r="B15" s="1">
        <v>12</v>
      </c>
      <c r="C15" s="1" t="s">
        <v>4</v>
      </c>
      <c r="D15" s="1" t="s">
        <v>5</v>
      </c>
      <c r="E15" s="1" t="s">
        <v>9</v>
      </c>
      <c r="F15" s="1">
        <v>1338</v>
      </c>
    </row>
    <row r="16" spans="2:12" x14ac:dyDescent="0.3">
      <c r="B16" s="1">
        <v>13</v>
      </c>
      <c r="C16" s="1" t="s">
        <v>4</v>
      </c>
      <c r="D16" s="1" t="s">
        <v>5</v>
      </c>
      <c r="E16" s="1" t="s">
        <v>6</v>
      </c>
      <c r="F16" s="1">
        <v>2695</v>
      </c>
    </row>
    <row r="17" spans="2:6" x14ac:dyDescent="0.3">
      <c r="B17" s="1">
        <v>14</v>
      </c>
      <c r="C17" s="1" t="s">
        <v>7</v>
      </c>
      <c r="D17" s="1" t="s">
        <v>8</v>
      </c>
      <c r="E17" s="1" t="s">
        <v>9</v>
      </c>
      <c r="F17" s="1">
        <v>7830</v>
      </c>
    </row>
    <row r="18" spans="2:6" x14ac:dyDescent="0.3">
      <c r="B18" s="1">
        <v>15</v>
      </c>
      <c r="C18" s="1" t="s">
        <v>4</v>
      </c>
      <c r="D18" s="1" t="s">
        <v>5</v>
      </c>
      <c r="E18" s="1" t="s">
        <v>6</v>
      </c>
      <c r="F18" s="1">
        <v>4154</v>
      </c>
    </row>
    <row r="19" spans="2:6" x14ac:dyDescent="0.3">
      <c r="B19" s="1">
        <v>16</v>
      </c>
      <c r="C19" s="1" t="s">
        <v>10</v>
      </c>
      <c r="D19" s="1" t="s">
        <v>11</v>
      </c>
      <c r="E19" s="1" t="s">
        <v>9</v>
      </c>
      <c r="F19" s="1">
        <v>6381</v>
      </c>
    </row>
    <row r="20" spans="2:6" x14ac:dyDescent="0.3">
      <c r="B20" s="1">
        <v>17</v>
      </c>
      <c r="C20" s="1" t="s">
        <v>12</v>
      </c>
      <c r="D20" s="1" t="s">
        <v>13</v>
      </c>
      <c r="E20" s="1" t="s">
        <v>14</v>
      </c>
      <c r="F20" s="1">
        <v>3387</v>
      </c>
    </row>
    <row r="21" spans="2:6" x14ac:dyDescent="0.3">
      <c r="B21" s="1">
        <v>18</v>
      </c>
      <c r="C21" s="1" t="s">
        <v>4</v>
      </c>
      <c r="D21" s="1" t="s">
        <v>5</v>
      </c>
      <c r="E21" s="1" t="s">
        <v>9</v>
      </c>
      <c r="F21" s="1">
        <v>7395</v>
      </c>
    </row>
    <row r="22" spans="2:6" x14ac:dyDescent="0.3">
      <c r="B22" s="1">
        <v>19</v>
      </c>
      <c r="C22" s="1" t="s">
        <v>4</v>
      </c>
      <c r="D22" s="1" t="s">
        <v>5</v>
      </c>
      <c r="E22" s="1" t="s">
        <v>6</v>
      </c>
      <c r="F22" s="1">
        <v>4368</v>
      </c>
    </row>
    <row r="23" spans="2:6" x14ac:dyDescent="0.3">
      <c r="B23" s="1">
        <v>20</v>
      </c>
      <c r="C23" s="1" t="s">
        <v>7</v>
      </c>
      <c r="D23" s="1" t="s">
        <v>8</v>
      </c>
      <c r="E23" s="1" t="s">
        <v>9</v>
      </c>
      <c r="F23" s="1">
        <v>4232</v>
      </c>
    </row>
    <row r="24" spans="2:6" x14ac:dyDescent="0.3">
      <c r="B24" s="1">
        <v>21</v>
      </c>
      <c r="C24" s="1" t="s">
        <v>4</v>
      </c>
      <c r="D24" s="1" t="s">
        <v>5</v>
      </c>
      <c r="E24" s="1" t="s">
        <v>6</v>
      </c>
      <c r="F24" s="1">
        <v>9058</v>
      </c>
    </row>
    <row r="25" spans="2:6" x14ac:dyDescent="0.3">
      <c r="B25" s="1">
        <v>22</v>
      </c>
      <c r="C25" s="1" t="s">
        <v>10</v>
      </c>
      <c r="D25" s="1" t="s">
        <v>11</v>
      </c>
      <c r="E25" s="1" t="s">
        <v>9</v>
      </c>
      <c r="F25" s="1">
        <v>4905</v>
      </c>
    </row>
    <row r="26" spans="2:6" x14ac:dyDescent="0.3">
      <c r="B26" s="1">
        <v>23</v>
      </c>
      <c r="C26" s="1" t="s">
        <v>12</v>
      </c>
      <c r="D26" s="1" t="s">
        <v>13</v>
      </c>
      <c r="E26" s="1" t="s">
        <v>14</v>
      </c>
      <c r="F26" s="1">
        <v>3712</v>
      </c>
    </row>
    <row r="27" spans="2:6" x14ac:dyDescent="0.3">
      <c r="B27" s="1">
        <v>24</v>
      </c>
      <c r="C27" s="1" t="s">
        <v>4</v>
      </c>
      <c r="D27" s="1" t="s">
        <v>5</v>
      </c>
      <c r="E27" s="1" t="s">
        <v>9</v>
      </c>
      <c r="F27" s="1">
        <v>7555</v>
      </c>
    </row>
    <row r="28" spans="2:6" x14ac:dyDescent="0.3">
      <c r="B28" s="1">
        <v>25</v>
      </c>
      <c r="C28" s="1" t="s">
        <v>4</v>
      </c>
      <c r="D28" s="1" t="s">
        <v>5</v>
      </c>
      <c r="E28" s="1" t="s">
        <v>6</v>
      </c>
      <c r="F28" s="1">
        <v>5309</v>
      </c>
    </row>
    <row r="29" spans="2:6" x14ac:dyDescent="0.3">
      <c r="B29" s="1">
        <v>26</v>
      </c>
      <c r="C29" s="1" t="s">
        <v>7</v>
      </c>
      <c r="D29" s="1" t="s">
        <v>8</v>
      </c>
      <c r="E29" s="1" t="s">
        <v>9</v>
      </c>
      <c r="F29" s="1">
        <v>1682</v>
      </c>
    </row>
    <row r="30" spans="2:6" x14ac:dyDescent="0.3">
      <c r="B30" s="1">
        <v>27</v>
      </c>
      <c r="C30" s="1" t="s">
        <v>4</v>
      </c>
      <c r="D30" s="1" t="s">
        <v>5</v>
      </c>
      <c r="E30" s="1" t="s">
        <v>6</v>
      </c>
      <c r="F30" s="1">
        <v>3885</v>
      </c>
    </row>
    <row r="31" spans="2:6" x14ac:dyDescent="0.3">
      <c r="B31" s="1">
        <v>28</v>
      </c>
      <c r="C31" s="1" t="s">
        <v>10</v>
      </c>
      <c r="D31" s="1" t="s">
        <v>11</v>
      </c>
      <c r="E31" s="1" t="s">
        <v>9</v>
      </c>
      <c r="F31" s="1">
        <v>4589</v>
      </c>
    </row>
    <row r="32" spans="2:6" x14ac:dyDescent="0.3">
      <c r="B32" s="1">
        <v>29</v>
      </c>
      <c r="C32" s="1" t="s">
        <v>12</v>
      </c>
      <c r="D32" s="1" t="s">
        <v>13</v>
      </c>
      <c r="E32" s="1" t="s">
        <v>14</v>
      </c>
      <c r="F32" s="1">
        <v>2109</v>
      </c>
    </row>
    <row r="33" spans="2:6" x14ac:dyDescent="0.3">
      <c r="B33" s="1">
        <v>30</v>
      </c>
      <c r="C33" s="1" t="s">
        <v>4</v>
      </c>
      <c r="D33" s="1" t="s">
        <v>5</v>
      </c>
      <c r="E33" s="1" t="s">
        <v>9</v>
      </c>
      <c r="F33" s="1">
        <v>4006</v>
      </c>
    </row>
    <row r="34" spans="2:6" x14ac:dyDescent="0.3">
      <c r="B34" s="1">
        <v>31</v>
      </c>
      <c r="C34" s="1" t="s">
        <v>4</v>
      </c>
      <c r="D34" s="1" t="s">
        <v>5</v>
      </c>
      <c r="E34" s="1" t="s">
        <v>6</v>
      </c>
      <c r="F34" s="1">
        <v>8164</v>
      </c>
    </row>
    <row r="35" spans="2:6" x14ac:dyDescent="0.3">
      <c r="B35" s="1">
        <v>32</v>
      </c>
      <c r="C35" s="1" t="s">
        <v>7</v>
      </c>
      <c r="D35" s="1" t="s">
        <v>8</v>
      </c>
      <c r="E35" s="1" t="s">
        <v>9</v>
      </c>
      <c r="F35" s="1">
        <v>3084</v>
      </c>
    </row>
    <row r="36" spans="2:6" x14ac:dyDescent="0.3">
      <c r="B36" s="1">
        <v>33</v>
      </c>
      <c r="C36" s="1" t="s">
        <v>4</v>
      </c>
      <c r="D36" s="1" t="s">
        <v>5</v>
      </c>
      <c r="E36" s="1" t="s">
        <v>6</v>
      </c>
      <c r="F36" s="1">
        <v>8737</v>
      </c>
    </row>
    <row r="37" spans="2:6" x14ac:dyDescent="0.3">
      <c r="B37" s="1">
        <v>34</v>
      </c>
      <c r="C37" s="1" t="s">
        <v>10</v>
      </c>
      <c r="D37" s="1" t="s">
        <v>11</v>
      </c>
      <c r="E37" s="1" t="s">
        <v>9</v>
      </c>
      <c r="F37" s="1">
        <v>8044</v>
      </c>
    </row>
    <row r="38" spans="2:6" x14ac:dyDescent="0.3">
      <c r="B38" s="1">
        <v>35</v>
      </c>
      <c r="C38" s="1" t="s">
        <v>12</v>
      </c>
      <c r="D38" s="1" t="s">
        <v>13</v>
      </c>
      <c r="E38" s="1" t="s">
        <v>14</v>
      </c>
      <c r="F38" s="1">
        <v>8044</v>
      </c>
    </row>
    <row r="39" spans="2:6" x14ac:dyDescent="0.3">
      <c r="B39" s="1">
        <v>36</v>
      </c>
      <c r="C39" s="1" t="s">
        <v>4</v>
      </c>
      <c r="D39" s="1" t="s">
        <v>5</v>
      </c>
      <c r="E39" s="1" t="s">
        <v>9</v>
      </c>
      <c r="F39" s="1">
        <v>8044</v>
      </c>
    </row>
    <row r="40" spans="2:6" x14ac:dyDescent="0.3">
      <c r="B40" s="1">
        <v>20</v>
      </c>
      <c r="C40" s="1" t="s">
        <v>7</v>
      </c>
      <c r="D40" s="1" t="s">
        <v>8</v>
      </c>
      <c r="E40" s="1" t="s">
        <v>9</v>
      </c>
      <c r="F40" s="1">
        <v>4232</v>
      </c>
    </row>
    <row r="41" spans="2:6" x14ac:dyDescent="0.3">
      <c r="B41" s="1">
        <v>21</v>
      </c>
      <c r="C41" s="1" t="s">
        <v>4</v>
      </c>
      <c r="D41" s="1" t="s">
        <v>5</v>
      </c>
      <c r="E41" s="1" t="s">
        <v>6</v>
      </c>
      <c r="F41" s="1">
        <v>9058</v>
      </c>
    </row>
    <row r="42" spans="2:6" x14ac:dyDescent="0.3">
      <c r="B42" s="1">
        <v>22</v>
      </c>
      <c r="C42" s="1" t="s">
        <v>10</v>
      </c>
      <c r="D42" s="1" t="s">
        <v>11</v>
      </c>
      <c r="E42" s="1" t="s">
        <v>9</v>
      </c>
      <c r="F42" s="1">
        <v>4905</v>
      </c>
    </row>
    <row r="43" spans="2:6" x14ac:dyDescent="0.3">
      <c r="B43" s="1">
        <v>23</v>
      </c>
      <c r="C43" s="1" t="s">
        <v>12</v>
      </c>
      <c r="D43" s="1" t="s">
        <v>13</v>
      </c>
      <c r="E43" s="1" t="s">
        <v>14</v>
      </c>
      <c r="F43" s="1">
        <v>3712</v>
      </c>
    </row>
    <row r="44" spans="2:6" x14ac:dyDescent="0.3">
      <c r="B44" s="1">
        <v>24</v>
      </c>
      <c r="C44" s="1" t="s">
        <v>4</v>
      </c>
      <c r="D44" s="1" t="s">
        <v>5</v>
      </c>
      <c r="E44" s="1" t="s">
        <v>9</v>
      </c>
      <c r="F44" s="1">
        <v>7555</v>
      </c>
    </row>
    <row r="45" spans="2:6" x14ac:dyDescent="0.3">
      <c r="B45" s="1">
        <v>25</v>
      </c>
      <c r="C45" s="1" t="s">
        <v>4</v>
      </c>
      <c r="D45" s="1" t="s">
        <v>5</v>
      </c>
      <c r="E45" s="1" t="s">
        <v>6</v>
      </c>
      <c r="F45" s="1">
        <v>5309</v>
      </c>
    </row>
    <row r="46" spans="2:6" x14ac:dyDescent="0.3">
      <c r="B46" s="1">
        <v>26</v>
      </c>
      <c r="C46" s="1" t="s">
        <v>7</v>
      </c>
      <c r="D46" s="1" t="s">
        <v>8</v>
      </c>
      <c r="E46" s="1" t="s">
        <v>9</v>
      </c>
      <c r="F46" s="1">
        <v>1682</v>
      </c>
    </row>
    <row r="47" spans="2:6" x14ac:dyDescent="0.3">
      <c r="B47" s="1">
        <v>27</v>
      </c>
      <c r="C47" s="1" t="s">
        <v>4</v>
      </c>
      <c r="D47" s="1" t="s">
        <v>5</v>
      </c>
      <c r="E47" s="1" t="s">
        <v>6</v>
      </c>
      <c r="F47" s="1">
        <v>3885</v>
      </c>
    </row>
    <row r="48" spans="2:6" x14ac:dyDescent="0.3">
      <c r="B48" s="1">
        <v>28</v>
      </c>
      <c r="C48" s="1" t="s">
        <v>10</v>
      </c>
      <c r="D48" s="1" t="s">
        <v>11</v>
      </c>
      <c r="E48" s="1" t="s">
        <v>9</v>
      </c>
      <c r="F48" s="1">
        <v>4589</v>
      </c>
    </row>
    <row r="49" spans="2:6" x14ac:dyDescent="0.3">
      <c r="B49" s="1">
        <v>29</v>
      </c>
      <c r="C49" s="1" t="s">
        <v>12</v>
      </c>
      <c r="D49" s="1" t="s">
        <v>13</v>
      </c>
      <c r="E49" s="1" t="s">
        <v>14</v>
      </c>
      <c r="F49" s="1">
        <v>2109</v>
      </c>
    </row>
    <row r="50" spans="2:6" x14ac:dyDescent="0.3">
      <c r="B50" s="1">
        <v>30</v>
      </c>
      <c r="C50" s="1" t="s">
        <v>4</v>
      </c>
      <c r="D50" s="1" t="s">
        <v>5</v>
      </c>
      <c r="E50" s="1" t="s">
        <v>9</v>
      </c>
      <c r="F50" s="1">
        <v>4006</v>
      </c>
    </row>
    <row r="51" spans="2:6" x14ac:dyDescent="0.3">
      <c r="B51" s="1">
        <v>31</v>
      </c>
      <c r="C51" s="1" t="s">
        <v>4</v>
      </c>
      <c r="D51" s="1" t="s">
        <v>5</v>
      </c>
      <c r="E51" s="1" t="s">
        <v>6</v>
      </c>
      <c r="F51" s="1">
        <v>8164</v>
      </c>
    </row>
    <row r="52" spans="2:6" x14ac:dyDescent="0.3">
      <c r="B52" s="1">
        <v>32</v>
      </c>
      <c r="C52" s="1" t="s">
        <v>7</v>
      </c>
      <c r="D52" s="1" t="s">
        <v>8</v>
      </c>
      <c r="E52" s="1" t="s">
        <v>9</v>
      </c>
      <c r="F52" s="1">
        <v>3084</v>
      </c>
    </row>
    <row r="53" spans="2:6" x14ac:dyDescent="0.3">
      <c r="B53" s="1">
        <v>33</v>
      </c>
      <c r="C53" s="1" t="s">
        <v>4</v>
      </c>
      <c r="D53" s="1" t="s">
        <v>5</v>
      </c>
      <c r="E53" s="1" t="s">
        <v>6</v>
      </c>
      <c r="F53" s="1">
        <v>8737</v>
      </c>
    </row>
    <row r="54" spans="2:6" x14ac:dyDescent="0.3">
      <c r="B54" s="1">
        <v>34</v>
      </c>
      <c r="C54" s="1" t="s">
        <v>10</v>
      </c>
      <c r="D54" s="1" t="s">
        <v>11</v>
      </c>
      <c r="E54" s="1" t="s">
        <v>9</v>
      </c>
      <c r="F54" s="1">
        <v>8044</v>
      </c>
    </row>
    <row r="55" spans="2:6" x14ac:dyDescent="0.3">
      <c r="B55" s="1">
        <v>35</v>
      </c>
      <c r="C55" s="1" t="s">
        <v>12</v>
      </c>
      <c r="D55" s="1" t="s">
        <v>13</v>
      </c>
      <c r="E55" s="1" t="s">
        <v>14</v>
      </c>
      <c r="F55" s="1">
        <v>8044</v>
      </c>
    </row>
    <row r="56" spans="2:6" x14ac:dyDescent="0.3">
      <c r="B56" s="1">
        <v>36</v>
      </c>
      <c r="C56" s="1" t="s">
        <v>4</v>
      </c>
      <c r="D56" s="1" t="s">
        <v>5</v>
      </c>
      <c r="E56" s="1" t="s">
        <v>9</v>
      </c>
      <c r="F56" s="1">
        <v>8044</v>
      </c>
    </row>
    <row r="57" spans="2:6" x14ac:dyDescent="0.3">
      <c r="B57" s="1">
        <v>27</v>
      </c>
      <c r="C57" s="1" t="s">
        <v>4</v>
      </c>
      <c r="D57" s="1" t="s">
        <v>5</v>
      </c>
      <c r="E57" s="1" t="s">
        <v>6</v>
      </c>
      <c r="F57" s="1">
        <v>3885</v>
      </c>
    </row>
    <row r="58" spans="2:6" x14ac:dyDescent="0.3">
      <c r="B58" s="1">
        <v>28</v>
      </c>
      <c r="C58" s="1" t="s">
        <v>10</v>
      </c>
      <c r="D58" s="1" t="s">
        <v>11</v>
      </c>
      <c r="E58" s="1" t="s">
        <v>9</v>
      </c>
      <c r="F58" s="1">
        <v>4589</v>
      </c>
    </row>
    <row r="59" spans="2:6" x14ac:dyDescent="0.3">
      <c r="B59" s="1">
        <v>29</v>
      </c>
      <c r="C59" s="1" t="s">
        <v>12</v>
      </c>
      <c r="D59" s="1" t="s">
        <v>13</v>
      </c>
      <c r="E59" s="1" t="s">
        <v>14</v>
      </c>
      <c r="F59" s="1">
        <v>2109</v>
      </c>
    </row>
    <row r="60" spans="2:6" x14ac:dyDescent="0.3">
      <c r="B60" s="1">
        <v>30</v>
      </c>
      <c r="C60" s="1" t="s">
        <v>4</v>
      </c>
      <c r="D60" s="1" t="s">
        <v>5</v>
      </c>
      <c r="E60" s="1" t="s">
        <v>9</v>
      </c>
      <c r="F60" s="1">
        <v>4006</v>
      </c>
    </row>
    <row r="61" spans="2:6" x14ac:dyDescent="0.3">
      <c r="B61" s="1">
        <v>31</v>
      </c>
      <c r="C61" s="1" t="s">
        <v>4</v>
      </c>
      <c r="D61" s="1" t="s">
        <v>5</v>
      </c>
      <c r="E61" s="1" t="s">
        <v>6</v>
      </c>
      <c r="F61" s="1">
        <v>8164</v>
      </c>
    </row>
    <row r="62" spans="2:6" x14ac:dyDescent="0.3">
      <c r="B62" s="1">
        <v>32</v>
      </c>
      <c r="C62" s="1" t="s">
        <v>7</v>
      </c>
      <c r="D62" s="1" t="s">
        <v>8</v>
      </c>
      <c r="E62" s="1" t="s">
        <v>9</v>
      </c>
      <c r="F62" s="1">
        <v>3084</v>
      </c>
    </row>
    <row r="63" spans="2:6" x14ac:dyDescent="0.3">
      <c r="B63" s="1">
        <v>33</v>
      </c>
      <c r="C63" s="1" t="s">
        <v>4</v>
      </c>
      <c r="D63" s="1" t="s">
        <v>5</v>
      </c>
      <c r="E63" s="1" t="s">
        <v>6</v>
      </c>
      <c r="F63" s="1">
        <v>8737</v>
      </c>
    </row>
    <row r="64" spans="2:6" x14ac:dyDescent="0.3">
      <c r="B64" s="1">
        <v>34</v>
      </c>
      <c r="C64" s="1" t="s">
        <v>10</v>
      </c>
      <c r="D64" s="1" t="s">
        <v>11</v>
      </c>
      <c r="E64" s="1" t="s">
        <v>9</v>
      </c>
      <c r="F64" s="1">
        <v>8044</v>
      </c>
    </row>
    <row r="65" spans="2:6" x14ac:dyDescent="0.3">
      <c r="B65" s="1">
        <v>35</v>
      </c>
      <c r="C65" s="1" t="s">
        <v>12</v>
      </c>
      <c r="D65" s="1" t="s">
        <v>13</v>
      </c>
      <c r="E65" s="1" t="s">
        <v>14</v>
      </c>
      <c r="F65" s="1">
        <v>8044</v>
      </c>
    </row>
    <row r="66" spans="2:6" x14ac:dyDescent="0.3">
      <c r="B66" s="1">
        <v>36</v>
      </c>
      <c r="C66" s="1" t="s">
        <v>4</v>
      </c>
      <c r="D66" s="1" t="s">
        <v>5</v>
      </c>
      <c r="E66" s="1" t="s">
        <v>9</v>
      </c>
      <c r="F66" s="1">
        <v>8044</v>
      </c>
    </row>
  </sheetData>
  <mergeCells count="2">
    <mergeCell ref="H3:L3"/>
    <mergeCell ref="H7:L7"/>
  </mergeCells>
  <conditionalFormatting sqref="I9">
    <cfRule type="colorScale" priority="3">
      <colorScale>
        <cfvo type="num" val="90000"/>
        <cfvo type="num" val="150000"/>
        <cfvo type="num" val="150001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If &amp; Ifs Notes</vt:lpstr>
      <vt:lpstr>Conditional Functions DAtaset</vt:lpstr>
      <vt:lpstr>Sheet1</vt:lpstr>
      <vt:lpstr>Table Calculation</vt:lpstr>
      <vt:lpstr>Cell Reference Data</vt:lpstr>
      <vt:lpstr>Category</vt:lpstr>
      <vt:lpstr>Cust_Name</vt:lpstr>
      <vt:lpstr>Region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ROJA V</cp:lastModifiedBy>
  <dcterms:created xsi:type="dcterms:W3CDTF">2026-04-14T16:49:27Z</dcterms:created>
  <dcterms:modified xsi:type="dcterms:W3CDTF">2026-04-20T18:52:33Z</dcterms:modified>
</cp:coreProperties>
</file>