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4d9a39e7045c10b/Desktop/"/>
    </mc:Choice>
  </mc:AlternateContent>
  <xr:revisionPtr revIDLastSave="0" documentId="11_2ABDF2BD0979A69229ABE245FFFB290AE0D03A2E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2" i="2" l="1"/>
  <c r="AB22" i="2"/>
  <c r="Y22" i="2"/>
  <c r="X22" i="2"/>
  <c r="W22" i="2"/>
  <c r="V22" i="2"/>
  <c r="AE21" i="2"/>
  <c r="AB21" i="2"/>
  <c r="Y21" i="2"/>
  <c r="X21" i="2"/>
  <c r="W21" i="2"/>
  <c r="V21" i="2"/>
  <c r="AE20" i="2"/>
  <c r="AB20" i="2"/>
  <c r="Y20" i="2"/>
  <c r="X20" i="2"/>
  <c r="W20" i="2"/>
  <c r="V20" i="2"/>
  <c r="AE19" i="2"/>
  <c r="AB19" i="2"/>
  <c r="Y19" i="2"/>
  <c r="X19" i="2"/>
  <c r="W19" i="2"/>
  <c r="V19" i="2"/>
  <c r="AE18" i="2"/>
  <c r="AB18" i="2"/>
  <c r="Y18" i="2"/>
  <c r="X18" i="2"/>
  <c r="W18" i="2"/>
  <c r="V18" i="2"/>
  <c r="AE17" i="2"/>
  <c r="AB17" i="2"/>
  <c r="Y17" i="2"/>
  <c r="X17" i="2"/>
  <c r="W17" i="2"/>
  <c r="V17" i="2"/>
  <c r="AE16" i="2"/>
  <c r="AB16" i="2"/>
  <c r="Y16" i="2"/>
  <c r="X16" i="2"/>
  <c r="W16" i="2"/>
  <c r="V16" i="2"/>
  <c r="AE15" i="2"/>
  <c r="AB15" i="2"/>
  <c r="Y15" i="2"/>
  <c r="X15" i="2"/>
  <c r="W15" i="2"/>
  <c r="V15" i="2"/>
  <c r="AE14" i="2"/>
  <c r="AB14" i="2"/>
  <c r="Y14" i="2"/>
  <c r="X14" i="2"/>
  <c r="W14" i="2"/>
  <c r="V14" i="2"/>
  <c r="AE13" i="2"/>
  <c r="AB13" i="2"/>
  <c r="Y13" i="2"/>
  <c r="X13" i="2"/>
  <c r="W13" i="2"/>
  <c r="V13" i="2"/>
  <c r="AE12" i="2"/>
  <c r="AB12" i="2"/>
  <c r="Y12" i="2"/>
  <c r="X12" i="2"/>
  <c r="W12" i="2"/>
  <c r="V12" i="2"/>
  <c r="AE11" i="2"/>
  <c r="AB11" i="2"/>
  <c r="Y11" i="2"/>
  <c r="X11" i="2"/>
  <c r="W11" i="2"/>
  <c r="V11" i="2"/>
  <c r="AE10" i="2"/>
  <c r="AB10" i="2"/>
  <c r="Y10" i="2"/>
  <c r="X10" i="2"/>
  <c r="W10" i="2"/>
  <c r="V10" i="2"/>
  <c r="AE9" i="2"/>
  <c r="AB9" i="2"/>
  <c r="Y9" i="2"/>
  <c r="X9" i="2"/>
  <c r="W9" i="2"/>
  <c r="V9" i="2"/>
  <c r="AE8" i="2"/>
  <c r="AB8" i="2"/>
  <c r="Y8" i="2"/>
  <c r="X8" i="2"/>
  <c r="W8" i="2"/>
  <c r="V8" i="2"/>
  <c r="AE7" i="2"/>
  <c r="AB7" i="2"/>
  <c r="Y7" i="2"/>
  <c r="X7" i="2"/>
  <c r="W7" i="2"/>
  <c r="V7" i="2"/>
  <c r="AE6" i="2"/>
  <c r="AB6" i="2"/>
  <c r="Y6" i="2"/>
  <c r="X6" i="2"/>
  <c r="W6" i="2"/>
  <c r="V6" i="2"/>
  <c r="AE5" i="2"/>
  <c r="AB5" i="2"/>
  <c r="Y5" i="2"/>
  <c r="X5" i="2"/>
  <c r="W5" i="2"/>
  <c r="V5" i="2"/>
  <c r="AE4" i="2"/>
  <c r="AB4" i="2"/>
  <c r="Y4" i="2"/>
  <c r="X4" i="2"/>
  <c r="W4" i="2"/>
  <c r="V4" i="2"/>
  <c r="AE3" i="2"/>
  <c r="AB3" i="2"/>
  <c r="Y3" i="2"/>
  <c r="X3" i="2"/>
  <c r="W3" i="2"/>
  <c r="V3" i="2"/>
</calcChain>
</file>

<file path=xl/sharedStrings.xml><?xml version="1.0" encoding="utf-8"?>
<sst xmlns="http://schemas.openxmlformats.org/spreadsheetml/2006/main" count="325" uniqueCount="203">
  <si>
    <t>Instructions</t>
  </si>
  <si>
    <t>Task1:</t>
  </si>
  <si>
    <r>
      <rPr>
        <sz val="11"/>
        <color theme="1"/>
        <rFont val="Calibri"/>
        <charset val="134"/>
        <scheme val="minor"/>
      </rPr>
      <t xml:space="preserve">Create a new column </t>
    </r>
    <r>
      <rPr>
        <b/>
        <sz val="11"/>
        <color theme="1"/>
        <rFont val="Calibri"/>
        <charset val="134"/>
        <scheme val="minor"/>
      </rPr>
      <t>Full Name</t>
    </r>
  </si>
  <si>
    <r>
      <rPr>
        <sz val="11"/>
        <color theme="1"/>
        <rFont val="Calibri"/>
        <charset val="134"/>
        <scheme val="minor"/>
      </rPr>
      <t xml:space="preserve">Combine First Name and Last Name manually for first row → </t>
    </r>
    <r>
      <rPr>
        <sz val="10"/>
        <color theme="1"/>
        <rFont val="Arial Unicode MS"/>
        <charset val="134"/>
      </rPr>
      <t>Ravi Kumar</t>
    </r>
  </si>
  <si>
    <r>
      <rPr>
        <sz val="11"/>
        <color theme="1"/>
        <rFont val="Calibri"/>
        <charset val="134"/>
        <scheme val="minor"/>
      </rPr>
      <t xml:space="preserve">Use </t>
    </r>
    <r>
      <rPr>
        <b/>
        <sz val="11"/>
        <color theme="1"/>
        <rFont val="Calibri"/>
        <charset val="134"/>
        <scheme val="minor"/>
      </rPr>
      <t>Flash Fill (Ctrl + E)</t>
    </r>
    <r>
      <rPr>
        <sz val="11"/>
        <color theme="1"/>
        <rFont val="Calibri"/>
        <charset val="134"/>
        <scheme val="minor"/>
      </rPr>
      <t xml:space="preserve"> to fill remaining rows</t>
    </r>
  </si>
  <si>
    <t>Task2:</t>
  </si>
  <si>
    <r>
      <rPr>
        <sz val="11"/>
        <color theme="1"/>
        <rFont val="Calibri"/>
        <charset val="134"/>
        <scheme val="minor"/>
      </rPr>
      <t xml:space="preserve">Create a column </t>
    </r>
    <r>
      <rPr>
        <b/>
        <sz val="11"/>
        <color theme="1"/>
        <rFont val="Calibri"/>
        <charset val="134"/>
        <scheme val="minor"/>
      </rPr>
      <t>Email</t>
    </r>
  </si>
  <si>
    <t>Format: firstname.lastname@gmail.com (Example: ravi.kumar@gmail.com)</t>
  </si>
  <si>
    <t>Use Flash Fill to complete all rows</t>
  </si>
  <si>
    <t>Task3:</t>
  </si>
  <si>
    <r>
      <rPr>
        <sz val="11"/>
        <color theme="1"/>
        <rFont val="Calibri"/>
        <charset val="134"/>
        <scheme val="minor"/>
      </rPr>
      <t xml:space="preserve">Create a column </t>
    </r>
    <r>
      <rPr>
        <b/>
        <sz val="11"/>
        <color theme="1"/>
        <rFont val="Calibri"/>
        <charset val="134"/>
        <scheme val="minor"/>
      </rPr>
      <t>Employee ID</t>
    </r>
  </si>
  <si>
    <r>
      <rPr>
        <sz val="11"/>
        <color theme="1"/>
        <rFont val="Calibri"/>
        <charset val="134"/>
        <scheme val="minor"/>
      </rPr>
      <t xml:space="preserve">Start with </t>
    </r>
    <r>
      <rPr>
        <sz val="10"/>
        <color theme="1"/>
        <rFont val="Arial Unicode MS"/>
        <charset val="134"/>
      </rPr>
      <t>EMP001</t>
    </r>
  </si>
  <si>
    <r>
      <rPr>
        <sz val="11"/>
        <color theme="1"/>
        <rFont val="Calibri"/>
        <charset val="134"/>
        <scheme val="minor"/>
      </rPr>
      <t xml:space="preserve">Use </t>
    </r>
    <r>
      <rPr>
        <b/>
        <sz val="11"/>
        <color theme="1"/>
        <rFont val="Calibri"/>
        <charset val="134"/>
        <scheme val="minor"/>
      </rPr>
      <t>Fill Series</t>
    </r>
    <r>
      <rPr>
        <sz val="11"/>
        <color theme="1"/>
        <rFont val="Calibri"/>
        <charset val="134"/>
        <scheme val="minor"/>
      </rPr>
      <t xml:space="preserve"> to generate next values:</t>
    </r>
  </si>
  <si>
    <t>Task4:</t>
  </si>
  <si>
    <t>Create a new column as USER ID</t>
  </si>
  <si>
    <t>Create user id as (First 2 letters of First Name + Last 2 letters of Last Name): Ex: Ravi Kumar -- Raar</t>
  </si>
  <si>
    <t>Task5:</t>
  </si>
  <si>
    <r>
      <rPr>
        <sz val="11"/>
        <color theme="1"/>
        <rFont val="Calibri"/>
        <charset val="134"/>
        <scheme val="minor"/>
      </rPr>
      <t xml:space="preserve">Extend the Month column till </t>
    </r>
    <r>
      <rPr>
        <b/>
        <sz val="11"/>
        <color theme="1"/>
        <rFont val="Calibri"/>
        <charset val="134"/>
        <scheme val="minor"/>
      </rPr>
      <t>December</t>
    </r>
  </si>
  <si>
    <r>
      <rPr>
        <sz val="11"/>
        <color theme="1"/>
        <rFont val="Calibri"/>
        <charset val="134"/>
        <scheme val="minor"/>
      </rPr>
      <t xml:space="preserve">Use </t>
    </r>
    <r>
      <rPr>
        <b/>
        <sz val="11"/>
        <color theme="1"/>
        <rFont val="Calibri"/>
        <charset val="134"/>
        <scheme val="minor"/>
      </rPr>
      <t>Fill Handle (drag)</t>
    </r>
    <r>
      <rPr>
        <sz val="11"/>
        <color theme="1"/>
        <rFont val="Calibri"/>
        <charset val="134"/>
        <scheme val="minor"/>
      </rPr>
      <t xml:space="preserve"> to auto-fill months</t>
    </r>
  </si>
  <si>
    <t>Task6:</t>
  </si>
  <si>
    <t>Create the following columns:</t>
  </si>
  <si>
    <t>Total Salary</t>
  </si>
  <si>
    <t>Salary+ Bonus</t>
  </si>
  <si>
    <t>Annual Salary</t>
  </si>
  <si>
    <t>Total_salary*12</t>
  </si>
  <si>
    <t>Tax(10%)</t>
  </si>
  <si>
    <t>Total_salary*10%</t>
  </si>
  <si>
    <t>Final Salary after Tax</t>
  </si>
  <si>
    <t>Total_salary-Tax</t>
  </si>
  <si>
    <t>Task7:</t>
  </si>
  <si>
    <t>Increase bonus by 500 for all employees</t>
  </si>
  <si>
    <t>Create New Column as Updated Bonus</t>
  </si>
  <si>
    <t>Bonus+500</t>
  </si>
  <si>
    <t>Create a New Columns as Performance Score</t>
  </si>
  <si>
    <t>Salary/1000</t>
  </si>
  <si>
    <t>First Name</t>
  </si>
  <si>
    <t>Last Name</t>
  </si>
  <si>
    <t>Salary</t>
  </si>
  <si>
    <t>Bonus</t>
  </si>
  <si>
    <t>Month</t>
  </si>
  <si>
    <t>full name</t>
  </si>
  <si>
    <t>Full name</t>
  </si>
  <si>
    <t>Email</t>
  </si>
  <si>
    <t>user id</t>
  </si>
  <si>
    <t>usid</t>
  </si>
  <si>
    <t>total salary</t>
  </si>
  <si>
    <t>annual salarey</t>
  </si>
  <si>
    <t>tax</t>
  </si>
  <si>
    <t>final salary after tax</t>
  </si>
  <si>
    <t>updated bonus</t>
  </si>
  <si>
    <t>performance score</t>
  </si>
  <si>
    <t>Ravi</t>
  </si>
  <si>
    <t>Kumar</t>
  </si>
  <si>
    <t>Jan</t>
  </si>
  <si>
    <t>RaviKumar</t>
  </si>
  <si>
    <t>Ravi Kumar</t>
  </si>
  <si>
    <t>ravi.kumar@gmail.com</t>
  </si>
  <si>
    <t>Emp_ID</t>
  </si>
  <si>
    <t>Raar</t>
  </si>
  <si>
    <t>Sneha</t>
  </si>
  <si>
    <t>Rani</t>
  </si>
  <si>
    <t>Feb</t>
  </si>
  <si>
    <t>SnehaRani</t>
  </si>
  <si>
    <t>Sneha Rani</t>
  </si>
  <si>
    <t>sneha.rani@gmail.com</t>
  </si>
  <si>
    <t>EMP001</t>
  </si>
  <si>
    <t>Snni</t>
  </si>
  <si>
    <t>Ankit</t>
  </si>
  <si>
    <t>Verma</t>
  </si>
  <si>
    <t>Mar</t>
  </si>
  <si>
    <t>AnkitVerma</t>
  </si>
  <si>
    <t>Ankit Verma</t>
  </si>
  <si>
    <t>snkit.rerma@gmail.com</t>
  </si>
  <si>
    <t>EMP002</t>
  </si>
  <si>
    <t>Anma</t>
  </si>
  <si>
    <t>Priya</t>
  </si>
  <si>
    <t>Meena</t>
  </si>
  <si>
    <t>Apr</t>
  </si>
  <si>
    <t>PriyaMeena</t>
  </si>
  <si>
    <t>Priya Meena</t>
  </si>
  <si>
    <t>sriya.reena@gmail.com</t>
  </si>
  <si>
    <t>EMP003</t>
  </si>
  <si>
    <t>Prna</t>
  </si>
  <si>
    <t>Deepak</t>
  </si>
  <si>
    <t>Yadav</t>
  </si>
  <si>
    <t>May</t>
  </si>
  <si>
    <t>DeepakYadav</t>
  </si>
  <si>
    <t>Deepak Yadav</t>
  </si>
  <si>
    <t>seepak.radav@gmail.com</t>
  </si>
  <si>
    <t>EMP004</t>
  </si>
  <si>
    <t>Deav</t>
  </si>
  <si>
    <t>Pooja</t>
  </si>
  <si>
    <t>Sharma</t>
  </si>
  <si>
    <t>Jun</t>
  </si>
  <si>
    <t>PoojaSharma</t>
  </si>
  <si>
    <t>Pooja Sharma</t>
  </si>
  <si>
    <t>sooja.rharma@gmail.com</t>
  </si>
  <si>
    <t>EMP005</t>
  </si>
  <si>
    <t>Poma</t>
  </si>
  <si>
    <t>Kiran</t>
  </si>
  <si>
    <t>Reddy</t>
  </si>
  <si>
    <t>Jul</t>
  </si>
  <si>
    <t>KiranReddy</t>
  </si>
  <si>
    <t>Kiran Reddy</t>
  </si>
  <si>
    <t>siran.reddy@gmail.com</t>
  </si>
  <si>
    <t>EMP006</t>
  </si>
  <si>
    <t>Kidy</t>
  </si>
  <si>
    <t>Neha</t>
  </si>
  <si>
    <t>Singh</t>
  </si>
  <si>
    <t>Aug</t>
  </si>
  <si>
    <t>NehaSingh</t>
  </si>
  <si>
    <t>Neha Singh</t>
  </si>
  <si>
    <t>seha.ringh@gmail.com</t>
  </si>
  <si>
    <t>EMP007</t>
  </si>
  <si>
    <t>Negh</t>
  </si>
  <si>
    <t>Rahul</t>
  </si>
  <si>
    <t>Das</t>
  </si>
  <si>
    <t>Sep</t>
  </si>
  <si>
    <t>RahulDas</t>
  </si>
  <si>
    <t>Rahul Das</t>
  </si>
  <si>
    <t>sahul.ras@gmail.com</t>
  </si>
  <si>
    <t>EMP008</t>
  </si>
  <si>
    <t>Raas</t>
  </si>
  <si>
    <t>Suresh</t>
  </si>
  <si>
    <t>Naidu</t>
  </si>
  <si>
    <t>Oct</t>
  </si>
  <si>
    <t>SureshNaidu</t>
  </si>
  <si>
    <t>Suresh Naidu</t>
  </si>
  <si>
    <t>suresh.raidu@gmail.com</t>
  </si>
  <si>
    <t>EMP009</t>
  </si>
  <si>
    <t>Sudu</t>
  </si>
  <si>
    <t>Kavya</t>
  </si>
  <si>
    <t>Iyer</t>
  </si>
  <si>
    <t>Nov</t>
  </si>
  <si>
    <t>KavyaIyer</t>
  </si>
  <si>
    <t>Kavya Iyer</t>
  </si>
  <si>
    <t>savya.ryer@gmail.com</t>
  </si>
  <si>
    <t>EMP010</t>
  </si>
  <si>
    <t>Kaer</t>
  </si>
  <si>
    <t>Arjun</t>
  </si>
  <si>
    <t>Patel</t>
  </si>
  <si>
    <t>Dec</t>
  </si>
  <si>
    <t>ArjunPatel</t>
  </si>
  <si>
    <t>Arjun Patel</t>
  </si>
  <si>
    <t>srjun.ratel@gmail.com</t>
  </si>
  <si>
    <t>EMP011</t>
  </si>
  <si>
    <t>Arel</t>
  </si>
  <si>
    <t>Divya</t>
  </si>
  <si>
    <t>Nair</t>
  </si>
  <si>
    <t>DivyaNair</t>
  </si>
  <si>
    <t>Divya Nair</t>
  </si>
  <si>
    <t>sivya.rair@gmail.com</t>
  </si>
  <si>
    <t>EMP012</t>
  </si>
  <si>
    <t>Diir</t>
  </si>
  <si>
    <t>Manoj</t>
  </si>
  <si>
    <t>Gupta</t>
  </si>
  <si>
    <t>ManojGupta</t>
  </si>
  <si>
    <t>Manoj Gupta</t>
  </si>
  <si>
    <t>sanoj.rupta@gmail.com</t>
  </si>
  <si>
    <t>EMP013</t>
  </si>
  <si>
    <t>Mata</t>
  </si>
  <si>
    <t>Rekha</t>
  </si>
  <si>
    <t>Jain</t>
  </si>
  <si>
    <t>RekhaJain</t>
  </si>
  <si>
    <t>Rekha Jain</t>
  </si>
  <si>
    <t>sekha.rain@gmail.com</t>
  </si>
  <si>
    <t>EMP014</t>
  </si>
  <si>
    <t>Rein</t>
  </si>
  <si>
    <t>Vikas</t>
  </si>
  <si>
    <t>Shetty</t>
  </si>
  <si>
    <t>VikasShetty</t>
  </si>
  <si>
    <t>Vikas Shetty</t>
  </si>
  <si>
    <t>sikas.rhetty@gmail.com</t>
  </si>
  <si>
    <t>EMP015</t>
  </si>
  <si>
    <t>Vity</t>
  </si>
  <si>
    <t>Pillai</t>
  </si>
  <si>
    <t>MeenaPillai</t>
  </si>
  <si>
    <t>Meena Pillai</t>
  </si>
  <si>
    <t>seena.rillai@gmail.com</t>
  </si>
  <si>
    <t>EMP016</t>
  </si>
  <si>
    <t>Meai</t>
  </si>
  <si>
    <t>Ajay</t>
  </si>
  <si>
    <t>Kulkarni</t>
  </si>
  <si>
    <t>AjayKulkarni</t>
  </si>
  <si>
    <t>Ajay Kulkarni</t>
  </si>
  <si>
    <t>sjay.rulkarni@gmail.com</t>
  </si>
  <si>
    <t>EMP017</t>
  </si>
  <si>
    <t>Ajni</t>
  </si>
  <si>
    <t>Swathi</t>
  </si>
  <si>
    <t>Rao</t>
  </si>
  <si>
    <t>SwathiRao</t>
  </si>
  <si>
    <t>Swathi Rao</t>
  </si>
  <si>
    <t>swathi.rao@gmail.com</t>
  </si>
  <si>
    <t>EMP018</t>
  </si>
  <si>
    <t>Swao</t>
  </si>
  <si>
    <t>Nikhil</t>
  </si>
  <si>
    <t>Choudhary</t>
  </si>
  <si>
    <t>NikhilChoudhary</t>
  </si>
  <si>
    <t>Nikhil Choudhary</t>
  </si>
  <si>
    <t>sikhil.rhoudhary@gmail.com</t>
  </si>
  <si>
    <t>EMP019</t>
  </si>
  <si>
    <t>Niry</t>
  </si>
  <si>
    <t>EMP020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</si>
</sst>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sz val="11"/>
      <color rgb="FF000000"/>
      <name val="Calibri"/>
      <scheme val="minor"/>
    </font>
    <font>
      <sz val="10"/>
      <color theme="1"/>
      <name val="Arial Unicode MS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theme="0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1" applyAlignment="1"/>
    <xf numFmtId="0" fontId="2" fillId="0" borderId="0" xfId="1" applyNumberFormat="1" applyAlignment="1"/>
    <xf numFmtId="0" fontId="3" fillId="3" borderId="1" xfId="0" applyFont="1" applyFill="1" applyBorder="1"/>
    <xf numFmtId="0" fontId="3" fillId="0" borderId="2" xfId="0" applyFont="1" applyBorder="1"/>
    <xf numFmtId="0" fontId="3" fillId="4" borderId="1" xfId="0" applyFont="1" applyFill="1" applyBorder="1"/>
    <xf numFmtId="0" fontId="1" fillId="2" borderId="6" xfId="0" applyFont="1" applyFill="1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8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12701</xdr:colOff>
      <xdr:row>3</xdr:row>
      <xdr:rowOff>0</xdr:rowOff>
    </xdr:from>
    <xdr:to>
      <xdr:col>3</xdr:col>
      <xdr:colOff>1809751</xdr:colOff>
      <xdr:row>6</xdr:row>
      <xdr:rowOff>145361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1345" y="567690"/>
          <a:ext cx="1797050" cy="69342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neha.rani@gmail.com" TargetMode="External"/><Relationship Id="rId1" Type="http://schemas.openxmlformats.org/officeDocument/2006/relationships/hyperlink" Target="mailto:ravi.kum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4506668294322"/>
  </sheetPr>
  <dimension ref="B3:D34"/>
  <sheetViews>
    <sheetView workbookViewId="0">
      <selection activeCell="E16" sqref="E16"/>
    </sheetView>
  </sheetViews>
  <sheetFormatPr defaultColWidth="9" defaultRowHeight="14.4"/>
  <cols>
    <col min="3" max="3" width="83.21875" customWidth="1"/>
    <col min="4" max="4" width="28.6640625" customWidth="1"/>
  </cols>
  <sheetData>
    <row r="3" spans="2:4">
      <c r="B3" s="17" t="s">
        <v>0</v>
      </c>
      <c r="C3" s="18"/>
      <c r="D3" s="19"/>
    </row>
    <row r="4" spans="2:4">
      <c r="B4" s="8" t="s">
        <v>1</v>
      </c>
      <c r="C4" s="9" t="s">
        <v>2</v>
      </c>
      <c r="D4" s="10"/>
    </row>
    <row r="5" spans="2:4">
      <c r="B5" s="11"/>
      <c r="C5" s="2" t="s">
        <v>3</v>
      </c>
      <c r="D5" s="12"/>
    </row>
    <row r="6" spans="2:4">
      <c r="B6" s="11"/>
      <c r="C6" s="2" t="s">
        <v>4</v>
      </c>
      <c r="D6" s="12"/>
    </row>
    <row r="7" spans="2:4">
      <c r="B7" s="11"/>
      <c r="C7" s="2"/>
      <c r="D7" s="12"/>
    </row>
    <row r="8" spans="2:4">
      <c r="B8" s="11"/>
      <c r="C8" s="2"/>
      <c r="D8" s="12"/>
    </row>
    <row r="9" spans="2:4">
      <c r="B9" s="13" t="s">
        <v>5</v>
      </c>
      <c r="C9" s="2" t="s">
        <v>6</v>
      </c>
      <c r="D9" s="12"/>
    </row>
    <row r="10" spans="2:4">
      <c r="B10" s="11"/>
      <c r="C10" s="2" t="s">
        <v>7</v>
      </c>
      <c r="D10" s="12"/>
    </row>
    <row r="11" spans="2:4">
      <c r="B11" s="11"/>
      <c r="C11" s="2" t="s">
        <v>8</v>
      </c>
      <c r="D11" s="12"/>
    </row>
    <row r="12" spans="2:4">
      <c r="B12" s="11"/>
      <c r="C12" s="2"/>
      <c r="D12" s="12"/>
    </row>
    <row r="13" spans="2:4">
      <c r="B13" s="13" t="s">
        <v>9</v>
      </c>
      <c r="C13" s="2" t="s">
        <v>10</v>
      </c>
      <c r="D13" s="12"/>
    </row>
    <row r="14" spans="2:4">
      <c r="B14" s="11"/>
      <c r="C14" s="2" t="s">
        <v>11</v>
      </c>
      <c r="D14" s="12"/>
    </row>
    <row r="15" spans="2:4">
      <c r="B15" s="11"/>
      <c r="C15" s="2" t="s">
        <v>12</v>
      </c>
      <c r="D15" s="12"/>
    </row>
    <row r="16" spans="2:4">
      <c r="B16" s="11"/>
      <c r="C16" s="2"/>
      <c r="D16" s="12"/>
    </row>
    <row r="17" spans="2:4">
      <c r="B17" s="13" t="s">
        <v>13</v>
      </c>
      <c r="C17" s="2" t="s">
        <v>14</v>
      </c>
      <c r="D17" s="12"/>
    </row>
    <row r="18" spans="2:4">
      <c r="B18" s="11"/>
      <c r="C18" s="2" t="s">
        <v>15</v>
      </c>
      <c r="D18" s="12"/>
    </row>
    <row r="19" spans="2:4">
      <c r="B19" s="11"/>
      <c r="C19" s="2"/>
      <c r="D19" s="12"/>
    </row>
    <row r="20" spans="2:4">
      <c r="B20" s="11"/>
      <c r="C20" s="2"/>
      <c r="D20" s="12"/>
    </row>
    <row r="21" spans="2:4">
      <c r="B21" s="13" t="s">
        <v>16</v>
      </c>
      <c r="C21" s="2" t="s">
        <v>17</v>
      </c>
      <c r="D21" s="12"/>
    </row>
    <row r="22" spans="2:4">
      <c r="B22" s="11"/>
      <c r="C22" s="2" t="s">
        <v>18</v>
      </c>
      <c r="D22" s="12"/>
    </row>
    <row r="23" spans="2:4">
      <c r="B23" s="11"/>
      <c r="C23" s="2"/>
      <c r="D23" s="12"/>
    </row>
    <row r="24" spans="2:4">
      <c r="B24" s="13" t="s">
        <v>19</v>
      </c>
      <c r="C24" s="2" t="s">
        <v>20</v>
      </c>
      <c r="D24" s="12"/>
    </row>
    <row r="25" spans="2:4">
      <c r="B25" s="11"/>
      <c r="C25" s="2" t="s">
        <v>21</v>
      </c>
      <c r="D25" s="12" t="s">
        <v>22</v>
      </c>
    </row>
    <row r="26" spans="2:4">
      <c r="B26" s="11"/>
      <c r="C26" s="2" t="s">
        <v>23</v>
      </c>
      <c r="D26" s="12" t="s">
        <v>24</v>
      </c>
    </row>
    <row r="27" spans="2:4">
      <c r="B27" s="11"/>
      <c r="C27" s="2" t="s">
        <v>25</v>
      </c>
      <c r="D27" s="12" t="s">
        <v>26</v>
      </c>
    </row>
    <row r="28" spans="2:4">
      <c r="B28" s="11"/>
      <c r="C28" s="2" t="s">
        <v>27</v>
      </c>
      <c r="D28" s="12" t="s">
        <v>28</v>
      </c>
    </row>
    <row r="29" spans="2:4">
      <c r="B29" s="11"/>
      <c r="C29" s="2"/>
      <c r="D29" s="12"/>
    </row>
    <row r="30" spans="2:4">
      <c r="B30" s="13" t="s">
        <v>29</v>
      </c>
      <c r="C30" s="2" t="s">
        <v>30</v>
      </c>
      <c r="D30" s="12"/>
    </row>
    <row r="31" spans="2:4">
      <c r="B31" s="11"/>
      <c r="C31" s="2" t="s">
        <v>31</v>
      </c>
      <c r="D31" s="12" t="s">
        <v>32</v>
      </c>
    </row>
    <row r="32" spans="2:4">
      <c r="B32" s="11"/>
      <c r="C32" s="2" t="s">
        <v>33</v>
      </c>
      <c r="D32" s="12" t="s">
        <v>34</v>
      </c>
    </row>
    <row r="33" spans="2:4">
      <c r="B33" s="11"/>
      <c r="C33" s="2"/>
      <c r="D33" s="12"/>
    </row>
    <row r="34" spans="2:4">
      <c r="B34" s="14"/>
      <c r="C34" s="15"/>
      <c r="D34" s="16"/>
    </row>
  </sheetData>
  <mergeCells count="1">
    <mergeCell ref="B3:D3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39994506668294322"/>
  </sheetPr>
  <dimension ref="B2:AE27"/>
  <sheetViews>
    <sheetView showGridLines="0" tabSelected="1" topLeftCell="X1" workbookViewId="0">
      <selection activeCell="AI19" sqref="AI19"/>
    </sheetView>
  </sheetViews>
  <sheetFormatPr defaultColWidth="9" defaultRowHeight="14.4"/>
  <cols>
    <col min="2" max="5" width="13.6640625" customWidth="1"/>
    <col min="6" max="6" width="16.33203125" customWidth="1"/>
    <col min="8" max="8" width="12.44140625" customWidth="1"/>
    <col min="9" max="9" width="11.44140625" customWidth="1"/>
    <col min="10" max="10" width="13.5546875" customWidth="1"/>
    <col min="12" max="12" width="12" customWidth="1"/>
    <col min="13" max="13" width="11.44140625" customWidth="1"/>
    <col min="14" max="14" width="18.109375" customWidth="1"/>
    <col min="15" max="15" width="15.33203125" customWidth="1"/>
    <col min="17" max="17" width="17.44140625" customWidth="1"/>
    <col min="18" max="18" width="25.44140625" customWidth="1"/>
    <col min="22" max="22" width="12.88671875" customWidth="1"/>
    <col min="23" max="23" width="14.44140625" customWidth="1"/>
    <col min="24" max="24" width="12.21875" customWidth="1"/>
  </cols>
  <sheetData>
    <row r="2" spans="2:31"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H2" s="1" t="s">
        <v>35</v>
      </c>
      <c r="I2" s="1" t="s">
        <v>36</v>
      </c>
      <c r="J2" t="s">
        <v>40</v>
      </c>
      <c r="L2" s="1" t="s">
        <v>35</v>
      </c>
      <c r="M2" s="1" t="s">
        <v>36</v>
      </c>
      <c r="N2" t="s">
        <v>41</v>
      </c>
      <c r="O2" t="s">
        <v>42</v>
      </c>
      <c r="R2" t="s">
        <v>43</v>
      </c>
      <c r="S2" t="s">
        <v>44</v>
      </c>
      <c r="T2" s="1" t="s">
        <v>37</v>
      </c>
      <c r="U2" s="1" t="s">
        <v>38</v>
      </c>
      <c r="V2" t="s">
        <v>45</v>
      </c>
      <c r="W2" t="s">
        <v>46</v>
      </c>
      <c r="X2" t="s">
        <v>47</v>
      </c>
      <c r="Y2" t="s">
        <v>48</v>
      </c>
      <c r="AA2" s="1" t="s">
        <v>38</v>
      </c>
      <c r="AB2" t="s">
        <v>49</v>
      </c>
      <c r="AD2" s="1" t="s">
        <v>37</v>
      </c>
      <c r="AE2" t="s">
        <v>50</v>
      </c>
    </row>
    <row r="3" spans="2:31">
      <c r="B3" s="2" t="s">
        <v>51</v>
      </c>
      <c r="C3" s="2" t="s">
        <v>52</v>
      </c>
      <c r="D3" s="2">
        <v>25000</v>
      </c>
      <c r="E3" s="2">
        <v>2000</v>
      </c>
      <c r="F3" s="2" t="s">
        <v>53</v>
      </c>
      <c r="H3" s="2" t="s">
        <v>51</v>
      </c>
      <c r="I3" s="2" t="s">
        <v>52</v>
      </c>
      <c r="J3" t="s">
        <v>54</v>
      </c>
      <c r="L3" s="2" t="s">
        <v>51</v>
      </c>
      <c r="M3" s="2" t="s">
        <v>52</v>
      </c>
      <c r="N3" t="s">
        <v>55</v>
      </c>
      <c r="O3" s="3" t="s">
        <v>56</v>
      </c>
      <c r="Q3" s="5" t="s">
        <v>57</v>
      </c>
      <c r="R3" t="s">
        <v>55</v>
      </c>
      <c r="S3" t="s">
        <v>58</v>
      </c>
      <c r="T3" s="2">
        <v>25000</v>
      </c>
      <c r="U3" s="2">
        <v>2000</v>
      </c>
      <c r="V3">
        <f>T3+U3</f>
        <v>27000</v>
      </c>
      <c r="W3">
        <f>V3*12</f>
        <v>324000</v>
      </c>
      <c r="X3">
        <f>V3*10%</f>
        <v>2700</v>
      </c>
      <c r="Y3">
        <f>V3-X3</f>
        <v>24300</v>
      </c>
      <c r="AA3" s="2">
        <v>2000</v>
      </c>
      <c r="AB3">
        <f>AA3+500</f>
        <v>2500</v>
      </c>
      <c r="AD3" s="2">
        <v>25000</v>
      </c>
      <c r="AE3">
        <f>AD3/1000</f>
        <v>25</v>
      </c>
    </row>
    <row r="4" spans="2:31">
      <c r="B4" s="2" t="s">
        <v>59</v>
      </c>
      <c r="C4" s="2" t="s">
        <v>60</v>
      </c>
      <c r="D4" s="2">
        <v>30000</v>
      </c>
      <c r="E4" s="2">
        <v>2500</v>
      </c>
      <c r="F4" s="2" t="s">
        <v>61</v>
      </c>
      <c r="H4" s="2" t="s">
        <v>59</v>
      </c>
      <c r="I4" s="2" t="s">
        <v>60</v>
      </c>
      <c r="J4" t="s">
        <v>62</v>
      </c>
      <c r="L4" s="2" t="s">
        <v>59</v>
      </c>
      <c r="M4" s="2" t="s">
        <v>60</v>
      </c>
      <c r="N4" t="s">
        <v>63</v>
      </c>
      <c r="O4" s="3" t="s">
        <v>64</v>
      </c>
      <c r="Q4" s="6" t="s">
        <v>65</v>
      </c>
      <c r="R4" t="s">
        <v>63</v>
      </c>
      <c r="S4" t="s">
        <v>66</v>
      </c>
      <c r="T4" s="2">
        <v>30000</v>
      </c>
      <c r="U4" s="2">
        <v>2500</v>
      </c>
      <c r="V4">
        <f t="shared" ref="V4:V22" si="0">T4+U4</f>
        <v>32500</v>
      </c>
      <c r="W4">
        <f t="shared" ref="W4:W22" si="1">V4*12</f>
        <v>390000</v>
      </c>
      <c r="X4">
        <f t="shared" ref="X4:X22" si="2">V4*10%</f>
        <v>3250</v>
      </c>
      <c r="Y4">
        <f t="shared" ref="Y4:Y22" si="3">V4-X4</f>
        <v>29250</v>
      </c>
      <c r="AA4" s="2">
        <v>2500</v>
      </c>
      <c r="AB4">
        <f t="shared" ref="AB4:AB22" si="4">AA4+500</f>
        <v>3000</v>
      </c>
      <c r="AD4" s="2">
        <v>30000</v>
      </c>
      <c r="AE4">
        <f t="shared" ref="AE4:AE22" si="5">AD4/1000</f>
        <v>30</v>
      </c>
    </row>
    <row r="5" spans="2:31">
      <c r="B5" s="2" t="s">
        <v>67</v>
      </c>
      <c r="C5" s="2" t="s">
        <v>68</v>
      </c>
      <c r="D5" s="2">
        <v>28000</v>
      </c>
      <c r="E5" s="2">
        <v>1800</v>
      </c>
      <c r="F5" s="2" t="s">
        <v>69</v>
      </c>
      <c r="H5" s="2" t="s">
        <v>67</v>
      </c>
      <c r="I5" s="2" t="s">
        <v>68</v>
      </c>
      <c r="J5" t="s">
        <v>70</v>
      </c>
      <c r="L5" s="2" t="s">
        <v>67</v>
      </c>
      <c r="M5" s="2" t="s">
        <v>68</v>
      </c>
      <c r="N5" t="s">
        <v>71</v>
      </c>
      <c r="O5" s="4" t="s">
        <v>72</v>
      </c>
      <c r="Q5" s="6" t="s">
        <v>73</v>
      </c>
      <c r="R5" t="s">
        <v>71</v>
      </c>
      <c r="S5" t="s">
        <v>74</v>
      </c>
      <c r="T5" s="2">
        <v>28000</v>
      </c>
      <c r="U5" s="2">
        <v>1800</v>
      </c>
      <c r="V5">
        <f t="shared" si="0"/>
        <v>29800</v>
      </c>
      <c r="W5">
        <f t="shared" si="1"/>
        <v>357600</v>
      </c>
      <c r="X5">
        <f t="shared" si="2"/>
        <v>2980</v>
      </c>
      <c r="Y5">
        <f t="shared" si="3"/>
        <v>26820</v>
      </c>
      <c r="AA5" s="2">
        <v>1800</v>
      </c>
      <c r="AB5">
        <f t="shared" si="4"/>
        <v>2300</v>
      </c>
      <c r="AD5" s="2">
        <v>28000</v>
      </c>
      <c r="AE5">
        <f t="shared" si="5"/>
        <v>28</v>
      </c>
    </row>
    <row r="6" spans="2:31">
      <c r="B6" s="2" t="s">
        <v>75</v>
      </c>
      <c r="C6" s="2" t="s">
        <v>76</v>
      </c>
      <c r="D6" s="2">
        <v>32000</v>
      </c>
      <c r="E6" s="2">
        <v>3000</v>
      </c>
      <c r="F6" s="2" t="s">
        <v>77</v>
      </c>
      <c r="H6" s="2" t="s">
        <v>75</v>
      </c>
      <c r="I6" s="2" t="s">
        <v>76</v>
      </c>
      <c r="J6" t="s">
        <v>78</v>
      </c>
      <c r="L6" s="2" t="s">
        <v>75</v>
      </c>
      <c r="M6" s="2" t="s">
        <v>76</v>
      </c>
      <c r="N6" t="s">
        <v>79</v>
      </c>
      <c r="O6" s="4" t="s">
        <v>80</v>
      </c>
      <c r="Q6" s="6" t="s">
        <v>81</v>
      </c>
      <c r="R6" t="s">
        <v>79</v>
      </c>
      <c r="S6" t="s">
        <v>82</v>
      </c>
      <c r="T6" s="2">
        <v>32000</v>
      </c>
      <c r="U6" s="2">
        <v>3000</v>
      </c>
      <c r="V6">
        <f t="shared" si="0"/>
        <v>35000</v>
      </c>
      <c r="W6">
        <f t="shared" si="1"/>
        <v>420000</v>
      </c>
      <c r="X6">
        <f t="shared" si="2"/>
        <v>3500</v>
      </c>
      <c r="Y6">
        <f t="shared" si="3"/>
        <v>31500</v>
      </c>
      <c r="AA6" s="2">
        <v>3000</v>
      </c>
      <c r="AB6">
        <f t="shared" si="4"/>
        <v>3500</v>
      </c>
      <c r="AD6" s="2">
        <v>32000</v>
      </c>
      <c r="AE6">
        <f t="shared" si="5"/>
        <v>32</v>
      </c>
    </row>
    <row r="7" spans="2:31">
      <c r="B7" s="2" t="s">
        <v>83</v>
      </c>
      <c r="C7" s="2" t="s">
        <v>84</v>
      </c>
      <c r="D7" s="2">
        <v>27000</v>
      </c>
      <c r="E7" s="2">
        <v>2200</v>
      </c>
      <c r="F7" s="2" t="s">
        <v>85</v>
      </c>
      <c r="H7" s="2" t="s">
        <v>83</v>
      </c>
      <c r="I7" s="2" t="s">
        <v>84</v>
      </c>
      <c r="J7" t="s">
        <v>86</v>
      </c>
      <c r="L7" s="2" t="s">
        <v>83</v>
      </c>
      <c r="M7" s="2" t="s">
        <v>84</v>
      </c>
      <c r="N7" t="s">
        <v>87</v>
      </c>
      <c r="O7" s="4" t="s">
        <v>88</v>
      </c>
      <c r="Q7" s="6" t="s">
        <v>89</v>
      </c>
      <c r="R7" t="s">
        <v>87</v>
      </c>
      <c r="S7" t="s">
        <v>90</v>
      </c>
      <c r="T7" s="2">
        <v>27000</v>
      </c>
      <c r="U7" s="2">
        <v>2200</v>
      </c>
      <c r="V7">
        <f t="shared" si="0"/>
        <v>29200</v>
      </c>
      <c r="W7">
        <f t="shared" si="1"/>
        <v>350400</v>
      </c>
      <c r="X7">
        <f t="shared" si="2"/>
        <v>2920</v>
      </c>
      <c r="Y7">
        <f t="shared" si="3"/>
        <v>26280</v>
      </c>
      <c r="AA7" s="2">
        <v>2200</v>
      </c>
      <c r="AB7">
        <f t="shared" si="4"/>
        <v>2700</v>
      </c>
      <c r="AD7" s="2">
        <v>27000</v>
      </c>
      <c r="AE7">
        <f t="shared" si="5"/>
        <v>27</v>
      </c>
    </row>
    <row r="8" spans="2:31">
      <c r="B8" s="2" t="s">
        <v>91</v>
      </c>
      <c r="C8" s="2" t="s">
        <v>92</v>
      </c>
      <c r="D8" s="2">
        <v>26000</v>
      </c>
      <c r="E8" s="2">
        <v>2100</v>
      </c>
      <c r="F8" s="2" t="s">
        <v>93</v>
      </c>
      <c r="H8" s="2" t="s">
        <v>91</v>
      </c>
      <c r="I8" s="2" t="s">
        <v>92</v>
      </c>
      <c r="J8" t="s">
        <v>94</v>
      </c>
      <c r="L8" s="2" t="s">
        <v>91</v>
      </c>
      <c r="M8" s="2" t="s">
        <v>92</v>
      </c>
      <c r="N8" t="s">
        <v>95</v>
      </c>
      <c r="O8" t="s">
        <v>96</v>
      </c>
      <c r="Q8" s="6" t="s">
        <v>97</v>
      </c>
      <c r="R8" t="s">
        <v>95</v>
      </c>
      <c r="S8" t="s">
        <v>98</v>
      </c>
      <c r="T8" s="2">
        <v>26000</v>
      </c>
      <c r="U8" s="2">
        <v>2100</v>
      </c>
      <c r="V8">
        <f t="shared" si="0"/>
        <v>28100</v>
      </c>
      <c r="W8">
        <f t="shared" si="1"/>
        <v>337200</v>
      </c>
      <c r="X8">
        <f t="shared" si="2"/>
        <v>2810</v>
      </c>
      <c r="Y8">
        <f t="shared" si="3"/>
        <v>25290</v>
      </c>
      <c r="AA8" s="2">
        <v>2100</v>
      </c>
      <c r="AB8">
        <f t="shared" si="4"/>
        <v>2600</v>
      </c>
      <c r="AD8" s="2">
        <v>26000</v>
      </c>
      <c r="AE8">
        <f t="shared" si="5"/>
        <v>26</v>
      </c>
    </row>
    <row r="9" spans="2:31">
      <c r="B9" s="2" t="s">
        <v>99</v>
      </c>
      <c r="C9" s="2" t="s">
        <v>100</v>
      </c>
      <c r="D9" s="2">
        <v>31000</v>
      </c>
      <c r="E9" s="2">
        <v>2700</v>
      </c>
      <c r="F9" s="2" t="s">
        <v>101</v>
      </c>
      <c r="H9" s="2" t="s">
        <v>99</v>
      </c>
      <c r="I9" s="2" t="s">
        <v>100</v>
      </c>
      <c r="J9" t="s">
        <v>102</v>
      </c>
      <c r="L9" s="2" t="s">
        <v>99</v>
      </c>
      <c r="M9" s="2" t="s">
        <v>100</v>
      </c>
      <c r="N9" t="s">
        <v>103</v>
      </c>
      <c r="O9" t="s">
        <v>104</v>
      </c>
      <c r="Q9" s="6" t="s">
        <v>105</v>
      </c>
      <c r="R9" t="s">
        <v>103</v>
      </c>
      <c r="S9" t="s">
        <v>106</v>
      </c>
      <c r="T9" s="2">
        <v>31000</v>
      </c>
      <c r="U9" s="2">
        <v>2700</v>
      </c>
      <c r="V9">
        <f t="shared" si="0"/>
        <v>33700</v>
      </c>
      <c r="W9">
        <f t="shared" si="1"/>
        <v>404400</v>
      </c>
      <c r="X9">
        <f t="shared" si="2"/>
        <v>3370</v>
      </c>
      <c r="Y9">
        <f t="shared" si="3"/>
        <v>30330</v>
      </c>
      <c r="AA9" s="2">
        <v>2700</v>
      </c>
      <c r="AB9">
        <f t="shared" si="4"/>
        <v>3200</v>
      </c>
      <c r="AD9" s="2">
        <v>31000</v>
      </c>
      <c r="AE9">
        <f t="shared" si="5"/>
        <v>31</v>
      </c>
    </row>
    <row r="10" spans="2:31">
      <c r="B10" s="2" t="s">
        <v>107</v>
      </c>
      <c r="C10" s="2" t="s">
        <v>108</v>
      </c>
      <c r="D10" s="2">
        <v>29000</v>
      </c>
      <c r="E10" s="2">
        <v>2400</v>
      </c>
      <c r="F10" s="2" t="s">
        <v>109</v>
      </c>
      <c r="H10" s="2" t="s">
        <v>107</v>
      </c>
      <c r="I10" s="2" t="s">
        <v>108</v>
      </c>
      <c r="J10" t="s">
        <v>110</v>
      </c>
      <c r="L10" s="2" t="s">
        <v>107</v>
      </c>
      <c r="M10" s="2" t="s">
        <v>108</v>
      </c>
      <c r="N10" t="s">
        <v>111</v>
      </c>
      <c r="O10" t="s">
        <v>112</v>
      </c>
      <c r="Q10" s="6" t="s">
        <v>113</v>
      </c>
      <c r="R10" t="s">
        <v>111</v>
      </c>
      <c r="S10" t="s">
        <v>114</v>
      </c>
      <c r="T10" s="2">
        <v>29000</v>
      </c>
      <c r="U10" s="2">
        <v>2400</v>
      </c>
      <c r="V10">
        <f t="shared" si="0"/>
        <v>31400</v>
      </c>
      <c r="W10">
        <f t="shared" si="1"/>
        <v>376800</v>
      </c>
      <c r="X10">
        <f t="shared" si="2"/>
        <v>3140</v>
      </c>
      <c r="Y10">
        <f t="shared" si="3"/>
        <v>28260</v>
      </c>
      <c r="AA10" s="2">
        <v>2400</v>
      </c>
      <c r="AB10">
        <f t="shared" si="4"/>
        <v>2900</v>
      </c>
      <c r="AD10" s="2">
        <v>29000</v>
      </c>
      <c r="AE10">
        <f t="shared" si="5"/>
        <v>29</v>
      </c>
    </row>
    <row r="11" spans="2:31">
      <c r="B11" s="2" t="s">
        <v>115</v>
      </c>
      <c r="C11" s="2" t="s">
        <v>116</v>
      </c>
      <c r="D11" s="2">
        <v>27500</v>
      </c>
      <c r="E11" s="2">
        <v>1900</v>
      </c>
      <c r="F11" s="2" t="s">
        <v>117</v>
      </c>
      <c r="H11" s="2" t="s">
        <v>115</v>
      </c>
      <c r="I11" s="2" t="s">
        <v>116</v>
      </c>
      <c r="J11" t="s">
        <v>118</v>
      </c>
      <c r="L11" s="2" t="s">
        <v>115</v>
      </c>
      <c r="M11" s="2" t="s">
        <v>116</v>
      </c>
      <c r="N11" t="s">
        <v>119</v>
      </c>
      <c r="O11" t="s">
        <v>120</v>
      </c>
      <c r="Q11" s="6" t="s">
        <v>121</v>
      </c>
      <c r="R11" t="s">
        <v>119</v>
      </c>
      <c r="S11" t="s">
        <v>122</v>
      </c>
      <c r="T11" s="2">
        <v>27500</v>
      </c>
      <c r="U11" s="2">
        <v>1900</v>
      </c>
      <c r="V11">
        <f t="shared" si="0"/>
        <v>29400</v>
      </c>
      <c r="W11">
        <f t="shared" si="1"/>
        <v>352800</v>
      </c>
      <c r="X11">
        <f t="shared" si="2"/>
        <v>2940</v>
      </c>
      <c r="Y11">
        <f t="shared" si="3"/>
        <v>26460</v>
      </c>
      <c r="AA11" s="2">
        <v>1900</v>
      </c>
      <c r="AB11">
        <f t="shared" si="4"/>
        <v>2400</v>
      </c>
      <c r="AD11" s="2">
        <v>27500</v>
      </c>
      <c r="AE11">
        <f t="shared" si="5"/>
        <v>27.5</v>
      </c>
    </row>
    <row r="12" spans="2:31">
      <c r="B12" s="2" t="s">
        <v>123</v>
      </c>
      <c r="C12" s="2" t="s">
        <v>124</v>
      </c>
      <c r="D12" s="2">
        <v>33000</v>
      </c>
      <c r="E12" s="2">
        <v>3200</v>
      </c>
      <c r="F12" s="2" t="s">
        <v>125</v>
      </c>
      <c r="H12" s="2" t="s">
        <v>123</v>
      </c>
      <c r="I12" s="2" t="s">
        <v>124</v>
      </c>
      <c r="J12" t="s">
        <v>126</v>
      </c>
      <c r="L12" s="2" t="s">
        <v>123</v>
      </c>
      <c r="M12" s="2" t="s">
        <v>124</v>
      </c>
      <c r="N12" t="s">
        <v>127</v>
      </c>
      <c r="O12" t="s">
        <v>128</v>
      </c>
      <c r="Q12" s="6" t="s">
        <v>129</v>
      </c>
      <c r="R12" t="s">
        <v>127</v>
      </c>
      <c r="S12" t="s">
        <v>130</v>
      </c>
      <c r="T12" s="2">
        <v>33000</v>
      </c>
      <c r="U12" s="2">
        <v>3200</v>
      </c>
      <c r="V12">
        <f t="shared" si="0"/>
        <v>36200</v>
      </c>
      <c r="W12">
        <f t="shared" si="1"/>
        <v>434400</v>
      </c>
      <c r="X12">
        <f t="shared" si="2"/>
        <v>3620</v>
      </c>
      <c r="Y12">
        <f t="shared" si="3"/>
        <v>32580</v>
      </c>
      <c r="AA12" s="2">
        <v>3200</v>
      </c>
      <c r="AB12">
        <f t="shared" si="4"/>
        <v>3700</v>
      </c>
      <c r="AD12" s="2">
        <v>33000</v>
      </c>
      <c r="AE12">
        <f t="shared" si="5"/>
        <v>33</v>
      </c>
    </row>
    <row r="13" spans="2:31">
      <c r="B13" s="2" t="s">
        <v>131</v>
      </c>
      <c r="C13" s="2" t="s">
        <v>132</v>
      </c>
      <c r="D13" s="2">
        <v>30500</v>
      </c>
      <c r="E13" s="2">
        <v>2600</v>
      </c>
      <c r="F13" s="2" t="s">
        <v>133</v>
      </c>
      <c r="H13" s="2" t="s">
        <v>131</v>
      </c>
      <c r="I13" s="2" t="s">
        <v>132</v>
      </c>
      <c r="J13" t="s">
        <v>134</v>
      </c>
      <c r="L13" s="2" t="s">
        <v>131</v>
      </c>
      <c r="M13" s="2" t="s">
        <v>132</v>
      </c>
      <c r="N13" t="s">
        <v>135</v>
      </c>
      <c r="O13" t="s">
        <v>136</v>
      </c>
      <c r="Q13" s="6" t="s">
        <v>137</v>
      </c>
      <c r="R13" t="s">
        <v>135</v>
      </c>
      <c r="S13" t="s">
        <v>138</v>
      </c>
      <c r="T13" s="2">
        <v>30500</v>
      </c>
      <c r="U13" s="2">
        <v>2600</v>
      </c>
      <c r="V13">
        <f t="shared" si="0"/>
        <v>33100</v>
      </c>
      <c r="W13">
        <f t="shared" si="1"/>
        <v>397200</v>
      </c>
      <c r="X13">
        <f t="shared" si="2"/>
        <v>3310</v>
      </c>
      <c r="Y13">
        <f t="shared" si="3"/>
        <v>29790</v>
      </c>
      <c r="AA13" s="2">
        <v>2600</v>
      </c>
      <c r="AB13">
        <f t="shared" si="4"/>
        <v>3100</v>
      </c>
      <c r="AD13" s="2">
        <v>30500</v>
      </c>
      <c r="AE13">
        <f t="shared" si="5"/>
        <v>30.5</v>
      </c>
    </row>
    <row r="14" spans="2:31">
      <c r="B14" s="2" t="s">
        <v>139</v>
      </c>
      <c r="C14" s="2" t="s">
        <v>140</v>
      </c>
      <c r="D14" s="2">
        <v>29500</v>
      </c>
      <c r="E14" s="2">
        <v>2300</v>
      </c>
      <c r="F14" s="2" t="s">
        <v>141</v>
      </c>
      <c r="H14" s="2" t="s">
        <v>139</v>
      </c>
      <c r="I14" s="2" t="s">
        <v>140</v>
      </c>
      <c r="J14" t="s">
        <v>142</v>
      </c>
      <c r="L14" s="2" t="s">
        <v>139</v>
      </c>
      <c r="M14" s="2" t="s">
        <v>140</v>
      </c>
      <c r="N14" t="s">
        <v>143</v>
      </c>
      <c r="O14" t="s">
        <v>144</v>
      </c>
      <c r="Q14" s="7" t="s">
        <v>145</v>
      </c>
      <c r="R14" t="s">
        <v>143</v>
      </c>
      <c r="S14" t="s">
        <v>146</v>
      </c>
      <c r="T14" s="2">
        <v>29500</v>
      </c>
      <c r="U14" s="2">
        <v>2300</v>
      </c>
      <c r="V14">
        <f t="shared" si="0"/>
        <v>31800</v>
      </c>
      <c r="W14">
        <f t="shared" si="1"/>
        <v>381600</v>
      </c>
      <c r="X14">
        <f t="shared" si="2"/>
        <v>3180</v>
      </c>
      <c r="Y14">
        <f t="shared" si="3"/>
        <v>28620</v>
      </c>
      <c r="AA14" s="2">
        <v>2300</v>
      </c>
      <c r="AB14">
        <f t="shared" si="4"/>
        <v>2800</v>
      </c>
      <c r="AD14" s="2">
        <v>29500</v>
      </c>
      <c r="AE14">
        <f t="shared" si="5"/>
        <v>29.5</v>
      </c>
    </row>
    <row r="15" spans="2:31">
      <c r="B15" s="2" t="s">
        <v>147</v>
      </c>
      <c r="C15" s="2" t="s">
        <v>148</v>
      </c>
      <c r="D15" s="2">
        <v>28500</v>
      </c>
      <c r="E15" s="2">
        <v>2000</v>
      </c>
      <c r="F15" s="2" t="s">
        <v>53</v>
      </c>
      <c r="H15" s="2" t="s">
        <v>147</v>
      </c>
      <c r="I15" s="2" t="s">
        <v>148</v>
      </c>
      <c r="J15" t="s">
        <v>149</v>
      </c>
      <c r="L15" s="2" t="s">
        <v>147</v>
      </c>
      <c r="M15" s="2" t="s">
        <v>148</v>
      </c>
      <c r="N15" t="s">
        <v>150</v>
      </c>
      <c r="O15" t="s">
        <v>151</v>
      </c>
      <c r="Q15" s="7" t="s">
        <v>152</v>
      </c>
      <c r="R15" t="s">
        <v>150</v>
      </c>
      <c r="S15" t="s">
        <v>153</v>
      </c>
      <c r="T15" s="2">
        <v>28500</v>
      </c>
      <c r="U15" s="2">
        <v>2000</v>
      </c>
      <c r="V15">
        <f t="shared" si="0"/>
        <v>30500</v>
      </c>
      <c r="W15">
        <f t="shared" si="1"/>
        <v>366000</v>
      </c>
      <c r="X15">
        <f t="shared" si="2"/>
        <v>3050</v>
      </c>
      <c r="Y15">
        <f t="shared" si="3"/>
        <v>27450</v>
      </c>
      <c r="AA15" s="2">
        <v>2000</v>
      </c>
      <c r="AB15">
        <f t="shared" si="4"/>
        <v>2500</v>
      </c>
      <c r="AD15" s="2">
        <v>28500</v>
      </c>
      <c r="AE15">
        <f t="shared" si="5"/>
        <v>28.5</v>
      </c>
    </row>
    <row r="16" spans="2:31">
      <c r="B16" s="2" t="s">
        <v>154</v>
      </c>
      <c r="C16" s="2" t="s">
        <v>155</v>
      </c>
      <c r="D16" s="2">
        <v>34000</v>
      </c>
      <c r="E16" s="2">
        <v>3500</v>
      </c>
      <c r="F16" s="2" t="s">
        <v>61</v>
      </c>
      <c r="H16" s="2" t="s">
        <v>154</v>
      </c>
      <c r="I16" s="2" t="s">
        <v>155</v>
      </c>
      <c r="J16" t="s">
        <v>156</v>
      </c>
      <c r="L16" s="2" t="s">
        <v>154</v>
      </c>
      <c r="M16" s="2" t="s">
        <v>155</v>
      </c>
      <c r="N16" t="s">
        <v>157</v>
      </c>
      <c r="O16" t="s">
        <v>158</v>
      </c>
      <c r="Q16" s="7" t="s">
        <v>159</v>
      </c>
      <c r="R16" t="s">
        <v>157</v>
      </c>
      <c r="S16" t="s">
        <v>160</v>
      </c>
      <c r="T16" s="2">
        <v>34000</v>
      </c>
      <c r="U16" s="2">
        <v>3500</v>
      </c>
      <c r="V16">
        <f t="shared" si="0"/>
        <v>37500</v>
      </c>
      <c r="W16">
        <f t="shared" si="1"/>
        <v>450000</v>
      </c>
      <c r="X16">
        <f t="shared" si="2"/>
        <v>3750</v>
      </c>
      <c r="Y16">
        <f t="shared" si="3"/>
        <v>33750</v>
      </c>
      <c r="AA16" s="2">
        <v>3500</v>
      </c>
      <c r="AB16">
        <f t="shared" si="4"/>
        <v>4000</v>
      </c>
      <c r="AD16" s="2">
        <v>34000</v>
      </c>
      <c r="AE16">
        <f t="shared" si="5"/>
        <v>34</v>
      </c>
    </row>
    <row r="17" spans="2:31">
      <c r="B17" s="2" t="s">
        <v>161</v>
      </c>
      <c r="C17" s="2" t="s">
        <v>162</v>
      </c>
      <c r="D17" s="2">
        <v>26500</v>
      </c>
      <c r="E17" s="2">
        <v>1800</v>
      </c>
      <c r="F17" s="2" t="s">
        <v>69</v>
      </c>
      <c r="H17" s="2" t="s">
        <v>161</v>
      </c>
      <c r="I17" s="2" t="s">
        <v>162</v>
      </c>
      <c r="J17" t="s">
        <v>163</v>
      </c>
      <c r="L17" s="2" t="s">
        <v>161</v>
      </c>
      <c r="M17" s="2" t="s">
        <v>162</v>
      </c>
      <c r="N17" t="s">
        <v>164</v>
      </c>
      <c r="O17" t="s">
        <v>165</v>
      </c>
      <c r="Q17" s="7" t="s">
        <v>166</v>
      </c>
      <c r="R17" t="s">
        <v>164</v>
      </c>
      <c r="S17" t="s">
        <v>167</v>
      </c>
      <c r="T17" s="2">
        <v>26500</v>
      </c>
      <c r="U17" s="2">
        <v>1800</v>
      </c>
      <c r="V17">
        <f t="shared" si="0"/>
        <v>28300</v>
      </c>
      <c r="W17">
        <f t="shared" si="1"/>
        <v>339600</v>
      </c>
      <c r="X17">
        <f t="shared" si="2"/>
        <v>2830</v>
      </c>
      <c r="Y17">
        <f t="shared" si="3"/>
        <v>25470</v>
      </c>
      <c r="AA17" s="2">
        <v>1800</v>
      </c>
      <c r="AB17">
        <f t="shared" si="4"/>
        <v>2300</v>
      </c>
      <c r="AD17" s="2">
        <v>26500</v>
      </c>
      <c r="AE17">
        <f t="shared" si="5"/>
        <v>26.5</v>
      </c>
    </row>
    <row r="18" spans="2:31">
      <c r="B18" s="2" t="s">
        <v>168</v>
      </c>
      <c r="C18" s="2" t="s">
        <v>169</v>
      </c>
      <c r="D18" s="2">
        <v>31500</v>
      </c>
      <c r="E18" s="2">
        <v>2900</v>
      </c>
      <c r="F18" s="2" t="s">
        <v>77</v>
      </c>
      <c r="H18" s="2" t="s">
        <v>168</v>
      </c>
      <c r="I18" s="2" t="s">
        <v>169</v>
      </c>
      <c r="J18" t="s">
        <v>170</v>
      </c>
      <c r="L18" s="2" t="s">
        <v>168</v>
      </c>
      <c r="M18" s="2" t="s">
        <v>169</v>
      </c>
      <c r="N18" t="s">
        <v>171</v>
      </c>
      <c r="O18" t="s">
        <v>172</v>
      </c>
      <c r="Q18" s="7" t="s">
        <v>173</v>
      </c>
      <c r="R18" t="s">
        <v>171</v>
      </c>
      <c r="S18" t="s">
        <v>174</v>
      </c>
      <c r="T18" s="2">
        <v>31500</v>
      </c>
      <c r="U18" s="2">
        <v>2900</v>
      </c>
      <c r="V18">
        <f t="shared" si="0"/>
        <v>34400</v>
      </c>
      <c r="W18">
        <f t="shared" si="1"/>
        <v>412800</v>
      </c>
      <c r="X18">
        <f t="shared" si="2"/>
        <v>3440</v>
      </c>
      <c r="Y18">
        <f t="shared" si="3"/>
        <v>30960</v>
      </c>
      <c r="AA18" s="2">
        <v>2900</v>
      </c>
      <c r="AB18">
        <f t="shared" si="4"/>
        <v>3400</v>
      </c>
      <c r="AD18" s="2">
        <v>31500</v>
      </c>
      <c r="AE18">
        <f t="shared" si="5"/>
        <v>31.5</v>
      </c>
    </row>
    <row r="19" spans="2:31">
      <c r="B19" s="2" t="s">
        <v>76</v>
      </c>
      <c r="C19" s="2" t="s">
        <v>175</v>
      </c>
      <c r="D19" s="2">
        <v>27500</v>
      </c>
      <c r="E19" s="2">
        <v>2100</v>
      </c>
      <c r="F19" s="2" t="s">
        <v>85</v>
      </c>
      <c r="H19" s="2" t="s">
        <v>76</v>
      </c>
      <c r="I19" s="2" t="s">
        <v>175</v>
      </c>
      <c r="J19" t="s">
        <v>176</v>
      </c>
      <c r="L19" s="2" t="s">
        <v>76</v>
      </c>
      <c r="M19" s="2" t="s">
        <v>175</v>
      </c>
      <c r="N19" t="s">
        <v>177</v>
      </c>
      <c r="O19" t="s">
        <v>178</v>
      </c>
      <c r="Q19" s="7" t="s">
        <v>179</v>
      </c>
      <c r="R19" t="s">
        <v>177</v>
      </c>
      <c r="S19" t="s">
        <v>180</v>
      </c>
      <c r="T19" s="2">
        <v>27500</v>
      </c>
      <c r="U19" s="2">
        <v>2100</v>
      </c>
      <c r="V19">
        <f t="shared" si="0"/>
        <v>29600</v>
      </c>
      <c r="W19">
        <f t="shared" si="1"/>
        <v>355200</v>
      </c>
      <c r="X19">
        <f t="shared" si="2"/>
        <v>2960</v>
      </c>
      <c r="Y19">
        <f t="shared" si="3"/>
        <v>26640</v>
      </c>
      <c r="AA19" s="2">
        <v>2100</v>
      </c>
      <c r="AB19">
        <f t="shared" si="4"/>
        <v>2600</v>
      </c>
      <c r="AD19" s="2">
        <v>27500</v>
      </c>
      <c r="AE19">
        <f t="shared" si="5"/>
        <v>27.5</v>
      </c>
    </row>
    <row r="20" spans="2:31">
      <c r="B20" s="2" t="s">
        <v>181</v>
      </c>
      <c r="C20" s="2" t="s">
        <v>182</v>
      </c>
      <c r="D20" s="2">
        <v>30000</v>
      </c>
      <c r="E20" s="2">
        <v>2500</v>
      </c>
      <c r="F20" s="2" t="s">
        <v>93</v>
      </c>
      <c r="H20" s="2" t="s">
        <v>181</v>
      </c>
      <c r="I20" s="2" t="s">
        <v>182</v>
      </c>
      <c r="J20" t="s">
        <v>183</v>
      </c>
      <c r="L20" s="2" t="s">
        <v>181</v>
      </c>
      <c r="M20" s="2" t="s">
        <v>182</v>
      </c>
      <c r="N20" t="s">
        <v>184</v>
      </c>
      <c r="O20" t="s">
        <v>185</v>
      </c>
      <c r="Q20" s="7" t="s">
        <v>186</v>
      </c>
      <c r="R20" t="s">
        <v>184</v>
      </c>
      <c r="S20" t="s">
        <v>187</v>
      </c>
      <c r="T20" s="2">
        <v>30000</v>
      </c>
      <c r="U20" s="2">
        <v>2500</v>
      </c>
      <c r="V20">
        <f t="shared" si="0"/>
        <v>32500</v>
      </c>
      <c r="W20">
        <f t="shared" si="1"/>
        <v>390000</v>
      </c>
      <c r="X20">
        <f t="shared" si="2"/>
        <v>3250</v>
      </c>
      <c r="Y20">
        <f t="shared" si="3"/>
        <v>29250</v>
      </c>
      <c r="AA20" s="2">
        <v>2500</v>
      </c>
      <c r="AB20">
        <f t="shared" si="4"/>
        <v>3000</v>
      </c>
      <c r="AD20" s="2">
        <v>30000</v>
      </c>
      <c r="AE20">
        <f t="shared" si="5"/>
        <v>30</v>
      </c>
    </row>
    <row r="21" spans="2:31">
      <c r="B21" s="2" t="s">
        <v>188</v>
      </c>
      <c r="C21" s="2" t="s">
        <v>189</v>
      </c>
      <c r="D21" s="2">
        <v>28500</v>
      </c>
      <c r="E21" s="2">
        <v>2200</v>
      </c>
      <c r="F21" s="2" t="s">
        <v>101</v>
      </c>
      <c r="H21" s="2" t="s">
        <v>188</v>
      </c>
      <c r="I21" s="2" t="s">
        <v>189</v>
      </c>
      <c r="J21" t="s">
        <v>190</v>
      </c>
      <c r="L21" s="2" t="s">
        <v>188</v>
      </c>
      <c r="M21" s="2" t="s">
        <v>189</v>
      </c>
      <c r="N21" t="s">
        <v>191</v>
      </c>
      <c r="O21" t="s">
        <v>192</v>
      </c>
      <c r="Q21" s="7" t="s">
        <v>193</v>
      </c>
      <c r="R21" t="s">
        <v>191</v>
      </c>
      <c r="S21" t="s">
        <v>194</v>
      </c>
      <c r="T21" s="2">
        <v>28500</v>
      </c>
      <c r="U21" s="2">
        <v>2200</v>
      </c>
      <c r="V21">
        <f t="shared" si="0"/>
        <v>30700</v>
      </c>
      <c r="W21">
        <f t="shared" si="1"/>
        <v>368400</v>
      </c>
      <c r="X21">
        <f t="shared" si="2"/>
        <v>3070</v>
      </c>
      <c r="Y21">
        <f t="shared" si="3"/>
        <v>27630</v>
      </c>
      <c r="AA21" s="2">
        <v>2200</v>
      </c>
      <c r="AB21">
        <f t="shared" si="4"/>
        <v>2700</v>
      </c>
      <c r="AD21" s="2">
        <v>28500</v>
      </c>
      <c r="AE21">
        <f t="shared" si="5"/>
        <v>28.5</v>
      </c>
    </row>
    <row r="22" spans="2:31">
      <c r="B22" s="2" t="s">
        <v>195</v>
      </c>
      <c r="C22" s="2" t="s">
        <v>196</v>
      </c>
      <c r="D22" s="2">
        <v>32500</v>
      </c>
      <c r="E22" s="2">
        <v>3000</v>
      </c>
      <c r="F22" s="2" t="s">
        <v>109</v>
      </c>
      <c r="H22" s="2" t="s">
        <v>195</v>
      </c>
      <c r="I22" s="2" t="s">
        <v>196</v>
      </c>
      <c r="J22" t="s">
        <v>197</v>
      </c>
      <c r="L22" s="2" t="s">
        <v>195</v>
      </c>
      <c r="M22" s="2" t="s">
        <v>196</v>
      </c>
      <c r="N22" t="s">
        <v>198</v>
      </c>
      <c r="O22" t="s">
        <v>199</v>
      </c>
      <c r="Q22" s="7" t="s">
        <v>200</v>
      </c>
      <c r="R22" t="s">
        <v>198</v>
      </c>
      <c r="S22" t="s">
        <v>201</v>
      </c>
      <c r="T22" s="2">
        <v>32500</v>
      </c>
      <c r="U22" s="2">
        <v>3000</v>
      </c>
      <c r="V22">
        <f t="shared" si="0"/>
        <v>35500</v>
      </c>
      <c r="W22">
        <f t="shared" si="1"/>
        <v>426000</v>
      </c>
      <c r="X22">
        <f t="shared" si="2"/>
        <v>3550</v>
      </c>
      <c r="Y22">
        <f t="shared" si="3"/>
        <v>31950</v>
      </c>
      <c r="AA22" s="2">
        <v>3000</v>
      </c>
      <c r="AB22">
        <f t="shared" si="4"/>
        <v>3500</v>
      </c>
      <c r="AD22" s="2">
        <v>32500</v>
      </c>
      <c r="AE22">
        <f t="shared" si="5"/>
        <v>32.5</v>
      </c>
    </row>
    <row r="23" spans="2:31">
      <c r="F23" s="1" t="s">
        <v>39</v>
      </c>
      <c r="Q23" s="7" t="s">
        <v>202</v>
      </c>
    </row>
    <row r="24" spans="2:31">
      <c r="F24" s="2" t="s">
        <v>117</v>
      </c>
    </row>
    <row r="25" spans="2:31">
      <c r="F25" s="2" t="s">
        <v>125</v>
      </c>
    </row>
    <row r="26" spans="2:31">
      <c r="F26" s="2" t="s">
        <v>133</v>
      </c>
    </row>
    <row r="27" spans="2:31">
      <c r="F27" s="2" t="s">
        <v>141</v>
      </c>
    </row>
  </sheetData>
  <hyperlinks>
    <hyperlink ref="O3" r:id="rId1" xr:uid="{00000000-0004-0000-0100-000000000000}"/>
    <hyperlink ref="O4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ROJA V</cp:lastModifiedBy>
  <dcterms:created xsi:type="dcterms:W3CDTF">2026-04-13T06:32:00Z</dcterms:created>
  <dcterms:modified xsi:type="dcterms:W3CDTF">2026-04-14T06:32:37Z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6BC6B9EE115849EF973BABDE5EA08B16_13</vt:lpwstr>
  </property>
  <property fmtid="{D5CDD505-2E9C-101B-9397-08002B2CF9AE}" pid="3" name="KSOProductBuildVer">
    <vt:lpwstr>1033-12.2.0.23196</vt:lpwstr>
  </property>
</Properties>
</file>