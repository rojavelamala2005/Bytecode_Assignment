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467"/>
  </bookViews>
  <sheets>
    <sheet name="Workshee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<sst xmlns="http://schemas.openxmlformats.org/spreadsheetml/2006/main" count="75" uniqueCount="56">
  <si>
    <t>Sales Tracker</t>
  </si>
  <si>
    <t>Date</t>
  </si>
  <si>
    <t>Region</t>
  </si>
  <si>
    <t>Product</t>
  </si>
  <si>
    <t>Category</t>
  </si>
  <si>
    <t>Units Sold</t>
  </si>
  <si>
    <t>Sales Amount</t>
  </si>
  <si>
    <t>Questions</t>
  </si>
  <si>
    <t>North</t>
  </si>
  <si>
    <t>TV</t>
  </si>
  <si>
    <t>Electronics</t>
  </si>
  <si>
    <t>Calculate total Sales</t>
  </si>
  <si>
    <t>South</t>
  </si>
  <si>
    <t>Mobile</t>
  </si>
  <si>
    <t>Total Sales in North</t>
  </si>
  <si>
    <t>East</t>
  </si>
  <si>
    <t>Shirt</t>
  </si>
  <si>
    <t>Apparel</t>
  </si>
  <si>
    <t>Total Units Sold for TV</t>
  </si>
  <si>
    <t>Jeans</t>
  </si>
  <si>
    <t>Total Sales for Electronics in South</t>
  </si>
  <si>
    <t>West</t>
  </si>
  <si>
    <t>Total Units Sold for Apparel in East</t>
  </si>
  <si>
    <t>Laptop</t>
  </si>
  <si>
    <t>Total Units Sold overall</t>
  </si>
  <si>
    <t>Shoes</t>
  </si>
  <si>
    <t>Total Sales for "West" region</t>
  </si>
  <si>
    <t>Total Units Sold for "Shirt"</t>
  </si>
  <si>
    <t>Total Sales for "Apparel" category</t>
  </si>
  <si>
    <t>Total Sales for "TV" in "South"</t>
  </si>
  <si>
    <t>Total Units Sold for "Mobile" in "North"</t>
  </si>
  <si>
    <t>Total Sales in "South" for "Electronics" category</t>
  </si>
  <si>
    <t>Total Sales of 'Mobile' in 'Electronics' category, in 'North' region</t>
  </si>
  <si>
    <t>Total Units Sold of products in 'Apparel' category from 'East' region after 02-Jan-24</t>
  </si>
  <si>
    <t>Total Sales of 'TV' in 'South' or 'West' region in the 'Electronics' category</t>
  </si>
  <si>
    <t>total sales</t>
  </si>
  <si>
    <t>sales in north</t>
  </si>
  <si>
    <t>sold for tv</t>
  </si>
  <si>
    <t>electronics  in south</t>
  </si>
  <si>
    <t>Apparel in east</t>
  </si>
  <si>
    <t>Total Sales of 'TV' after 01-Jan-24 and less than 09-Jan-24 in the 'North' region</t>
  </si>
  <si>
    <t>Total Units Sold for 'Shirt' or 'Jeans' in 'Apparel' from 'East' or 'West'</t>
  </si>
  <si>
    <t>Total Sales for all products sold in 'Electronics' category, in 'South' region, between 01-Jan and 10-Jan</t>
  </si>
  <si>
    <t>units sold overall</t>
  </si>
  <si>
    <t>west region</t>
  </si>
  <si>
    <t>sold for shirt</t>
  </si>
  <si>
    <t>apparel category</t>
  </si>
  <si>
    <t>tv in south</t>
  </si>
  <si>
    <t>Total Units Sold where: Region is 'North', Category is 'Apparel', Product is 'Jeans', and Date = 04-Jan-24</t>
  </si>
  <si>
    <t>mobile in north</t>
  </si>
  <si>
    <t>electronics category</t>
  </si>
  <si>
    <t>north region</t>
  </si>
  <si>
    <t>electronics caterogy</t>
  </si>
  <si>
    <t>east or  west</t>
  </si>
  <si>
    <t>south region between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</si>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</sst>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80" fontId="1" fillId="2" borderId="4" xfId="0" applyNumberFormat="1" applyFont="1" applyFill="1" applyBorder="1"/>
    <xf numFmtId="0" fontId="1" fillId="2" borderId="4" xfId="0" applyFont="1" applyFill="1" applyBorder="1"/>
    <xf numFmtId="180" fontId="0" fillId="0" borderId="5" xfId="0" applyNumberFormat="1" applyBorder="1"/>
    <xf numFmtId="0" fontId="0" fillId="0" borderId="5" xfId="0" applyBorder="1"/>
    <xf numFmtId="0" fontId="0" fillId="0" borderId="0" xfId="0" applyNumberFormat="1"/>
    <xf numFmtId="181" fontId="0" fillId="0" borderId="0" xfId="0" applyNumberFormat="1"/>
    <xf numFmtId="180" fontId="1" fillId="2" borderId="5" xfId="0" applyNumberFormat="1" applyFont="1" applyFill="1" applyBorder="1"/>
    <xf numFmtId="0" fontId="0" fillId="0" borderId="6" xfId="0" applyBorder="1"/>
    <xf numFmtId="0" fontId="0" fillId="0" borderId="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28"/>
  <sheetViews>
    <sheetView tabSelected="1" workbookViewId="0">
      <selection activeCell="G29" sqref="G29"/>
    </sheetView>
  </sheetViews>
  <sheetFormatPr defaultColWidth="9" defaultRowHeight="14.4"/>
  <cols>
    <col min="3" max="3" width="15.7222222222222" customWidth="1"/>
    <col min="4" max="4" width="13.5462962962963" customWidth="1"/>
    <col min="5" max="5" width="17.8888888888889" customWidth="1"/>
    <col min="6" max="6" width="21" customWidth="1"/>
    <col min="7" max="7" width="21.6666666666667" customWidth="1"/>
    <col min="8" max="8" width="13.2685185185185" customWidth="1"/>
    <col min="11" max="11" width="93" customWidth="1"/>
  </cols>
  <sheetData>
    <row r="2" spans="3:8">
      <c r="C2" s="1" t="s">
        <v>0</v>
      </c>
      <c r="D2" s="2"/>
      <c r="E2" s="2"/>
      <c r="F2" s="2"/>
      <c r="G2" s="2"/>
      <c r="H2" s="3"/>
    </row>
    <row r="3" spans="3:11">
      <c r="C3" s="4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K3" s="10" t="s">
        <v>7</v>
      </c>
    </row>
    <row r="4" spans="3:11">
      <c r="C4" s="6">
        <v>45292</v>
      </c>
      <c r="D4" s="7" t="s">
        <v>8</v>
      </c>
      <c r="E4" s="7" t="s">
        <v>9</v>
      </c>
      <c r="F4" s="7" t="s">
        <v>10</v>
      </c>
      <c r="G4" s="7">
        <v>10</v>
      </c>
      <c r="H4" s="7">
        <v>50000</v>
      </c>
      <c r="K4" s="7" t="s">
        <v>11</v>
      </c>
    </row>
    <row r="5" spans="3:11">
      <c r="C5" s="6">
        <v>45293</v>
      </c>
      <c r="D5" s="7" t="s">
        <v>12</v>
      </c>
      <c r="E5" s="7" t="s">
        <v>13</v>
      </c>
      <c r="F5" s="7" t="s">
        <v>10</v>
      </c>
      <c r="G5" s="7">
        <v>25</v>
      </c>
      <c r="H5" s="7">
        <v>75000</v>
      </c>
      <c r="K5" s="7" t="s">
        <v>14</v>
      </c>
    </row>
    <row r="6" spans="3:11">
      <c r="C6" s="6">
        <v>45294</v>
      </c>
      <c r="D6" s="7" t="s">
        <v>15</v>
      </c>
      <c r="E6" s="7" t="s">
        <v>16</v>
      </c>
      <c r="F6" s="7" t="s">
        <v>17</v>
      </c>
      <c r="G6" s="7">
        <v>50</v>
      </c>
      <c r="H6" s="7">
        <v>15000</v>
      </c>
      <c r="K6" s="7" t="s">
        <v>18</v>
      </c>
    </row>
    <row r="7" spans="3:11">
      <c r="C7" s="6">
        <v>45295</v>
      </c>
      <c r="D7" s="7" t="s">
        <v>8</v>
      </c>
      <c r="E7" s="7" t="s">
        <v>19</v>
      </c>
      <c r="F7" s="7" t="s">
        <v>17</v>
      </c>
      <c r="G7" s="7">
        <v>40</v>
      </c>
      <c r="H7" s="7">
        <v>20000</v>
      </c>
      <c r="K7" s="7" t="s">
        <v>20</v>
      </c>
    </row>
    <row r="8" spans="3:11">
      <c r="C8" s="6">
        <v>45296</v>
      </c>
      <c r="D8" s="7" t="s">
        <v>21</v>
      </c>
      <c r="E8" s="7" t="s">
        <v>9</v>
      </c>
      <c r="F8" s="7" t="s">
        <v>10</v>
      </c>
      <c r="G8" s="7">
        <v>5</v>
      </c>
      <c r="H8" s="7">
        <v>25000</v>
      </c>
      <c r="K8" s="11" t="s">
        <v>22</v>
      </c>
    </row>
    <row r="9" spans="3:11">
      <c r="C9" s="6">
        <v>45297</v>
      </c>
      <c r="D9" s="7" t="s">
        <v>12</v>
      </c>
      <c r="E9" s="7" t="s">
        <v>23</v>
      </c>
      <c r="F9" s="7" t="s">
        <v>10</v>
      </c>
      <c r="G9" s="7">
        <v>7</v>
      </c>
      <c r="H9" s="7">
        <v>56000</v>
      </c>
      <c r="K9" s="12" t="s">
        <v>24</v>
      </c>
    </row>
    <row r="10" spans="3:11">
      <c r="C10" s="6">
        <v>45298</v>
      </c>
      <c r="D10" s="7" t="s">
        <v>15</v>
      </c>
      <c r="E10" s="7" t="s">
        <v>25</v>
      </c>
      <c r="F10" s="7" t="s">
        <v>17</v>
      </c>
      <c r="G10" s="7">
        <v>30</v>
      </c>
      <c r="H10" s="7">
        <v>18000</v>
      </c>
      <c r="K10" s="12" t="s">
        <v>26</v>
      </c>
    </row>
    <row r="11" spans="3:11">
      <c r="C11" s="6">
        <v>45299</v>
      </c>
      <c r="D11" s="7" t="s">
        <v>8</v>
      </c>
      <c r="E11" s="7" t="s">
        <v>13</v>
      </c>
      <c r="F11" s="7" t="s">
        <v>10</v>
      </c>
      <c r="G11" s="7">
        <v>20</v>
      </c>
      <c r="H11" s="7">
        <v>60000</v>
      </c>
      <c r="K11" s="12" t="s">
        <v>27</v>
      </c>
    </row>
    <row r="12" spans="3:11">
      <c r="C12" s="6">
        <v>45300</v>
      </c>
      <c r="D12" s="7" t="s">
        <v>21</v>
      </c>
      <c r="E12" s="7" t="s">
        <v>16</v>
      </c>
      <c r="F12" s="7" t="s">
        <v>17</v>
      </c>
      <c r="G12" s="7">
        <v>45</v>
      </c>
      <c r="H12" s="7">
        <v>13500</v>
      </c>
      <c r="K12" s="12" t="s">
        <v>28</v>
      </c>
    </row>
    <row r="13" spans="3:11">
      <c r="C13" s="6">
        <v>45301</v>
      </c>
      <c r="D13" s="7" t="s">
        <v>12</v>
      </c>
      <c r="E13" s="7" t="s">
        <v>9</v>
      </c>
      <c r="F13" s="7" t="s">
        <v>10</v>
      </c>
      <c r="G13" s="7">
        <v>8</v>
      </c>
      <c r="H13" s="7">
        <v>40000</v>
      </c>
      <c r="K13" s="12" t="s">
        <v>29</v>
      </c>
    </row>
    <row r="14" spans="11:11">
      <c r="K14" s="12" t="s">
        <v>30</v>
      </c>
    </row>
    <row r="15" spans="11:11">
      <c r="K15" s="12" t="s">
        <v>31</v>
      </c>
    </row>
    <row r="16" spans="11:11">
      <c r="K16" s="12" t="s">
        <v>32</v>
      </c>
    </row>
    <row r="17" spans="11:11">
      <c r="K17" s="12" t="s">
        <v>33</v>
      </c>
    </row>
    <row r="18" spans="11:11">
      <c r="K18" s="12" t="s">
        <v>34</v>
      </c>
    </row>
    <row r="19" spans="4:11">
      <c r="D19" t="s">
        <v>35</v>
      </c>
      <c r="E19" t="s">
        <v>36</v>
      </c>
      <c r="F19" t="s">
        <v>37</v>
      </c>
      <c r="G19" t="s">
        <v>38</v>
      </c>
      <c r="H19" t="s">
        <v>39</v>
      </c>
      <c r="K19" s="12" t="s">
        <v>40</v>
      </c>
    </row>
    <row r="20" spans="4:11">
      <c r="D20" s="8">
        <f>SUM(H3:H13)</f>
        <v>372500</v>
      </c>
      <c r="E20">
        <f>SUMIF(D3:D13,"North",H3:H13)</f>
        <v>130000</v>
      </c>
      <c r="F20">
        <f>SUMIF(E3:E13,"TV",G3:G13)</f>
        <v>23</v>
      </c>
      <c r="G20">
        <f>SUMIFS(H3:H13,F3:F13,"Electronics",D3:D13,"South")</f>
        <v>171000</v>
      </c>
      <c r="H20">
        <f>SUMIFS(G3:G13,F3:F13,"Apparel",D3:D13,"East")</f>
        <v>80</v>
      </c>
      <c r="K20" s="12" t="s">
        <v>41</v>
      </c>
    </row>
    <row r="21" spans="11:11">
      <c r="K21" s="12" t="s">
        <v>42</v>
      </c>
    </row>
    <row r="22" spans="4:11">
      <c r="D22" t="s">
        <v>43</v>
      </c>
      <c r="E22" t="s">
        <v>44</v>
      </c>
      <c r="F22" t="s">
        <v>45</v>
      </c>
      <c r="G22" t="s">
        <v>46</v>
      </c>
      <c r="H22" t="s">
        <v>47</v>
      </c>
      <c r="K22" s="12" t="s">
        <v>48</v>
      </c>
    </row>
    <row r="23" spans="4:8">
      <c r="D23" s="8">
        <f>SUM(G3:G13)</f>
        <v>240</v>
      </c>
      <c r="E23">
        <f>SUMIF(D3:D13,"West",H3:H13)</f>
        <v>38500</v>
      </c>
      <c r="F23">
        <f>SUMIF(E3:E13,"Shirt",G3:G13)</f>
        <v>95</v>
      </c>
      <c r="G23">
        <f>SUMIFS(H3:H13,F3:F13,"Apparel")</f>
        <v>66500</v>
      </c>
      <c r="H23">
        <f>SUMIFS(H3:H13,E3:E13,"TV",D3:D13,"South")</f>
        <v>40000</v>
      </c>
    </row>
    <row r="24" spans="4:8">
      <c r="D24" t="s">
        <v>49</v>
      </c>
      <c r="E24" t="s">
        <v>50</v>
      </c>
      <c r="F24" t="s">
        <v>51</v>
      </c>
      <c r="G24" s="9">
        <v>45293</v>
      </c>
      <c r="H24" t="s">
        <v>52</v>
      </c>
    </row>
    <row r="25" spans="4:8">
      <c r="D25">
        <f>SUMIFS(G3:G13,E3:E13,"Mobile",D3:D13,"North")</f>
        <v>20</v>
      </c>
      <c r="E25">
        <f>SUMIFS(H3:H13,D3:D13,"South",F3:F13,"Electronics")</f>
        <v>171000</v>
      </c>
      <c r="F25">
        <f>SUMIFS(H3:H13,E3:E13,"Mobile",F3:F13,"Electronics",D3:D13,"North")</f>
        <v>60000</v>
      </c>
      <c r="G25">
        <f>SUMIFS(G3:G13,F3:F13,"Apparel",D3:D13,"East",C3:C13,"&gt;02-Jan-2024")</f>
        <v>80</v>
      </c>
      <c r="H25">
        <f>SUMIFS(H3:H13,E3:E13,"TV",F3:F13,"Electronics",D3:D13,"South")</f>
        <v>40000</v>
      </c>
    </row>
    <row r="27" spans="4:7">
      <c r="D27" t="s">
        <v>51</v>
      </c>
      <c r="E27" t="s">
        <v>53</v>
      </c>
      <c r="F27" t="s">
        <v>54</v>
      </c>
      <c r="G27" t="s">
        <v>55</v>
      </c>
    </row>
    <row r="28" spans="4:7">
      <c r="D28">
        <f>SUMIFS(H3:H13,E3:E13,"TV",D3:D13,"North",C3:C13,"&gt; 01-Jan-2024",C3:C13,"&lt; 09-Jan-2024")</f>
        <v>0</v>
      </c>
      <c r="E28">
        <f>SUM(SUMIFS(G3:G13,E3:E13,"Shirt",F3:F13,"Apparel",D3:D13,"East"),SUMIFS(G3:G13,E3:E13,"Jeans",F3:F13,"Apparel",D3:D13,"West"))</f>
        <v>50</v>
      </c>
      <c r="F28">
        <f>SUMIFS(H3:H13,F3:F13,"Electronics",D3:D13,"South",C3:C13,"&gt;=01-Jan-2024",C3:C13,"&lt;=10-Jan-2024")</f>
        <v>171000</v>
      </c>
      <c r="G28">
        <f>SUMIFS(G3:G13,D3:D13,"North",F3:F13,"Apparel",E3:E13,"Jeans",C3:C13,"04-Jan-2024")</f>
        <v>40</v>
      </c>
    </row>
  </sheetData>
  <mergeCells count="1">
    <mergeCell ref="C2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Velamala Roja</cp:lastModifiedBy>
  <dcterms:created xsi:type="dcterms:W3CDTF">2025-07-26T13:09:00Z</dcterms:created>
  <dcterms:modified xsi:type="dcterms:W3CDTF">2026-04-15T13:21:08Z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3EBCC0E778BD41D48799607F5F7E3CF8_13</vt:lpwstr>
  </property>
  <property fmtid="{D5CDD505-2E9C-101B-9397-08002B2CF9AE}" pid="3" name="KSOProductBuildVer">
    <vt:lpwstr>1033-12.2.0.23196</vt:lpwstr>
  </property>
</Properties>
</file>